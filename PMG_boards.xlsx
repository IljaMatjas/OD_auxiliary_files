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SAHVER2\Turundus$\Meediatiim 2019\_Outdoor\OD planner\_partners_data\OD_app\"/>
    </mc:Choice>
  </mc:AlternateContent>
  <xr:revisionPtr revIDLastSave="0" documentId="13_ncr:1_{C854E558-F453-4306-A622-D4E6F99AF77A}" xr6:coauthVersionLast="46" xr6:coauthVersionMax="46" xr10:uidLastSave="{00000000-0000-0000-0000-000000000000}"/>
  <bookViews>
    <workbookView xWindow="-28920" yWindow="-120" windowWidth="29040" windowHeight="15840" activeTab="1" xr2:uid="{E8A709C1-8EC8-49DA-98AE-5852A1972F32}"/>
  </bookViews>
  <sheets>
    <sheet name="boards" sheetId="1" r:id="rId1"/>
    <sheet name="prices" sheetId="6" r:id="rId2"/>
    <sheet name="coefs" sheetId="3" r:id="rId3"/>
    <sheet name="details" sheetId="4" r:id="rId4"/>
    <sheet name="comments" sheetId="5" r:id="rId5"/>
  </sheets>
  <definedNames>
    <definedName name="_xlnm._FilterDatabase" localSheetId="0" hidden="1">boards!$A$1:$S$1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2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tc={24B24890-7C80-4C71-B10D-FC2AE27FC247}</author>
    <author>tc={3F2E828A-3793-4890-8E83-391A7C344B82}</author>
  </authors>
  <commentList>
    <comment ref="Q1" authorId="0" shapeId="0" xr:uid="{24B24890-7C80-4C71-B10D-FC2AE27FC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millisesse kategooriasse kuulub lehelt "JCD_coefs" - sellest sõltub hind erinevatel nädalatel</t>
      </text>
    </comment>
    <comment ref="R1" authorId="1" shapeId="0" xr:uid="{3F2E828A-3793-4890-8E83-391A7C344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vajalik erinevate allikate ühendamiseks
CCL jõuga konverteeritud CL'iks (koodis pole vahet meie jaoks, aga JCD edastab vahel ühel kujul, vahel teisel kujul nende pindade koode)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tc={C7FB8A58-E812-4B3F-B535-6E2CB22758BF}</author>
  </authors>
  <commentList>
    <comment ref="E1" authorId="0" shapeId="0" xr:uid="{C7FB8A58-E812-4B3F-B535-6E2CB22758BF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ühe nädala baas maksumus Teliale</t>
      </text>
    </comment>
  </commentList>
</comments>
</file>

<file path=xl/sharedStrings.xml><?xml version="1.0" encoding="utf-8"?>
<sst xmlns="http://schemas.openxmlformats.org/spreadsheetml/2006/main" count="4763" uniqueCount="1470">
  <si>
    <t>Tallinn</t>
  </si>
  <si>
    <t>Kesklinn</t>
  </si>
  <si>
    <t>Kristiine</t>
  </si>
  <si>
    <t>Nõmme</t>
  </si>
  <si>
    <t>Mustamäe</t>
  </si>
  <si>
    <t>Mustamäe tee 137</t>
  </si>
  <si>
    <t>Haabersti</t>
  </si>
  <si>
    <t>Pirita tee</t>
  </si>
  <si>
    <t>Pirita</t>
  </si>
  <si>
    <t>Lasnamäe</t>
  </si>
  <si>
    <t>Smuuli tee</t>
  </si>
  <si>
    <t>Peterburi tee 50</t>
  </si>
  <si>
    <t>BB</t>
  </si>
  <si>
    <t>PMG</t>
  </si>
  <si>
    <t>https://www.megameediagrupp.ee/valimeedia/reklaamtahvlid-6x3?mapid=5fd72a0dcdd82&amp;side=1</t>
  </si>
  <si>
    <t>https://www.megameediagrupp.ee/valimeedia/reklaamtahvlid-6x3?mapid=5fd72a0dd185b&amp;side=1</t>
  </si>
  <si>
    <t>https://www.megameediagrupp.ee/valimeedia/reklaamtahvlid-6x3?mapid=5fd72a0dd185b&amp;side=2</t>
  </si>
  <si>
    <t>https://www.megameediagrupp.ee/valimeedia/reklaamtahvlid-6x3?mapid=5fd72a0dd4d21&amp;side=1</t>
  </si>
  <si>
    <t>https://www.megameediagrupp.ee/valimeedia/reklaamtahvlid-6x3?mapid=5fd72a0dd4d21&amp;side=2</t>
  </si>
  <si>
    <t>https://www.megameediagrupp.ee/valimeedia/reklaampinnad-viaduktidel?mapid=5fe3133a4eccc&amp;side=1</t>
  </si>
  <si>
    <t>https://www.megameediagrupp.ee/valimeedia/reklaamtahvlid-6x3?mapid=5fd72a0dd8271&amp;side=1</t>
  </si>
  <si>
    <t>https://www.megameediagrupp.ee/valimeedia/reklaamtahvlid-6x3?mapid=5fd72a0dd8271&amp;side=2</t>
  </si>
  <si>
    <t>https://www.megameediagrupp.ee/valimeedia/reklaamtahvlid-6x3?mapid=5fd72a0ddb701&amp;side=1</t>
  </si>
  <si>
    <t>https://www.megameediagrupp.ee/valimeedia/reklaamtahvlid-6x3?mapid=5fd72a0ddb701&amp;side=2</t>
  </si>
  <si>
    <t>https://www.megameediagrupp.ee/valimeedia/reklaamtahvlid-6x3?mapid=5fd72a0ddecdc&amp;side=1</t>
  </si>
  <si>
    <t>https://www.megameediagrupp.ee/valimeedia/reklaamtahvlid-6x3?mapid=5fd72a0ddecdc&amp;side=2</t>
  </si>
  <si>
    <t>https://www.megameediagrupp.ee/valimeedia/reklaamtahvlid-6x3?mapid=5fd72a0de1fd5&amp;side=1</t>
  </si>
  <si>
    <t>https://www.megameediagrupp.ee/valimeedia/reklaamtahvlid-6x3?mapid=5fd72a0de1fd5&amp;side=2</t>
  </si>
  <si>
    <t>https://www.megameediagrupp.ee/valimeedia/reklaamtahvlid-6x3?mapid=5fd72a0de515d&amp;side=1</t>
  </si>
  <si>
    <t>https://www.megameediagrupp.ee/valimeedia/reklaamtahvlid-6x3?mapid=5fd72a0e06ea0&amp;side=1</t>
  </si>
  <si>
    <t>https://www.megameediagrupp.ee/valimeedia/reklaamtahvlid-6x3?mapid=5fd72a0e06ea0&amp;side=2</t>
  </si>
  <si>
    <t>https://www.megameediagrupp.ee/valimeedia/reklaamtahvlid-6x3?mapid=5fd72a0e0a3a8&amp;side=1</t>
  </si>
  <si>
    <t>https://www.megameediagrupp.ee/valimeedia/reklaamtahvlid-6x3?mapid=5fd72a0e0a3a8&amp;side=2</t>
  </si>
  <si>
    <t>https://www.megameediagrupp.ee/valimeedia/reklaamtahvlid-6x3?mapid=5fd72a0e0d6bd&amp;side=1</t>
  </si>
  <si>
    <t>https://www.megameediagrupp.ee/valimeedia/reklaamtahvlid-6x3?mapid=5fd72a0e0d6bd&amp;side=2</t>
  </si>
  <si>
    <t>https://www.megameediagrupp.ee/valimeedia/reklaamtahvlid-6x3?mapid=5fd72a0e10cb0&amp;side=1</t>
  </si>
  <si>
    <t>https://www.megameediagrupp.ee/valimeedia/reklaamtahvlid-6x3?mapid=5fd72a0e10cb0&amp;side=2</t>
  </si>
  <si>
    <t>https://www.megameediagrupp.ee/valimeedia/reklaamtahvlid-6x3?mapid=5fd72a0e14109&amp;side=1</t>
  </si>
  <si>
    <t>https://www.megameediagrupp.ee/valimeedia/reklaamtahvlid-6x3?mapid=5fd72a0e14109&amp;side=2</t>
  </si>
  <si>
    <t>https://www.megameediagrupp.ee/valimeedia/reklaamtahvlid-6x3?mapid=5fd72a0e17374&amp;side=1</t>
  </si>
  <si>
    <t>https://www.megameediagrupp.ee/valimeedia/reklaamtahvlid-6x3?mapid=5fd72a0e17374&amp;side=2</t>
  </si>
  <si>
    <t>https://www.megameediagrupp.ee/valimeedia/reklaamtahvlid-6x3?mapid=5fd72a0e1a61f&amp;side=1</t>
  </si>
  <si>
    <t>https://www.megameediagrupp.ee/valimeedia/reklaamtahvlid-6x3?mapid=5fd72a0e1a61f&amp;side=2</t>
  </si>
  <si>
    <t>https://www.megameediagrupp.ee/valimeedia/reklaamtahvlid-6x3?mapid=5fd72a0e20d90&amp;side=1</t>
  </si>
  <si>
    <t>https://www.megameediagrupp.ee/valimeedia/reklaamtahvlid-6x3?mapid=5fd72a0e20d90&amp;side=2</t>
  </si>
  <si>
    <t>https://www.megameediagrupp.ee/valimeedia/reklaamtahvlid-6x3?mapid=5fd72a0e24153&amp;side=1</t>
  </si>
  <si>
    <t>https://www.megameediagrupp.ee/valimeedia/reklaamtahvlid-6x3?mapid=5fd72a0e24153&amp;side=2</t>
  </si>
  <si>
    <t>https://www.megameediagrupp.ee/valimeedia/reklaamtahvlid-6x3?mapid=5fd72a0e27825&amp;side=1</t>
  </si>
  <si>
    <t>https://www.megameediagrupp.ee/valimeedia/reklaamtahvlid-6x3?mapid=5fd72a0e27825&amp;side=2</t>
  </si>
  <si>
    <t>https://www.megameediagrupp.ee/valimeedia/reklaamtahvlid-6x3?mapid=5fd72a0e2abf5&amp;side=1</t>
  </si>
  <si>
    <t>https://www.megameediagrupp.ee/valimeedia/reklaamtahvlid-6x3?mapid=5fd72a0e2dd15&amp;side=1</t>
  </si>
  <si>
    <t>https://www.megameediagrupp.ee/valimeedia/reklaamtahvlid-6x3?mapid=5fd72a0e2dd15&amp;side=2</t>
  </si>
  <si>
    <t>https://www.megameediagrupp.ee/valimeedia/reklaamtahvlid-6x3?mapid=5fd72a0e30f43&amp;side=1</t>
  </si>
  <si>
    <t>https://www.megameediagrupp.ee/valimeedia/reklaamtahvlid-6x3?mapid=5fd72a0e30f43&amp;side=2</t>
  </si>
  <si>
    <t>https://www.megameediagrupp.ee/valimeedia/reklaamtahvlid-6x3?mapid=5fd72a0e344ee&amp;side=1</t>
  </si>
  <si>
    <t>https://www.megameediagrupp.ee/valimeedia/reklaamtahvlid-6x3?mapid=5fd72a0e344ee&amp;side=2</t>
  </si>
  <si>
    <t>https://www.megameediagrupp.ee/valimeedia/reklaamtahvlid-6x3?mapid=5fd72a0e3751f&amp;side=1</t>
  </si>
  <si>
    <t>https://www.megameediagrupp.ee/valimeedia/reklaamtahvlid-6x3?mapid=5fd72a0e3751f&amp;side=2</t>
  </si>
  <si>
    <t>https://www.megameediagrupp.ee/valimeedia/reklaamtahvlid-6x3?mapid=5fd72a0e3a86c&amp;side=1</t>
  </si>
  <si>
    <t>https://www.megameediagrupp.ee/valimeedia/reklaamtahvlid-6x3?mapid=5fd72a0e3a86c&amp;side=2</t>
  </si>
  <si>
    <t>https://www.megameediagrupp.ee/valimeedia/reklaamtahvlid-6x3?mapid=5fd72a0e3da75&amp;side=1</t>
  </si>
  <si>
    <t>https://www.megameediagrupp.ee/valimeedia/reklaamtahvlid-6x3?mapid=5fd72a0e3da75&amp;side=2</t>
  </si>
  <si>
    <t>https://www.megameediagrupp.ee/valimeedia/reklaamtahvlid-6x3?mapid=5fd72a0e410b4&amp;side=1</t>
  </si>
  <si>
    <t>https://www.megameediagrupp.ee/valimeedia/reklaamtahvlid-6x3?mapid=5fd72a0e410b4&amp;side=2</t>
  </si>
  <si>
    <t>https://www.megameediagrupp.ee/valimeedia/reklaamtahvlid-6x3?mapid=5fd72a0e4436e&amp;side=1</t>
  </si>
  <si>
    <t>https://www.megameediagrupp.ee/valimeedia/reklaamtahvlid-6x3?mapid=5fd72a0e4436e&amp;side=2</t>
  </si>
  <si>
    <t>https://www.megameediagrupp.ee/valimeedia/reklaamtahvlid-6x3?mapid=5fd72a0e4766f&amp;side=2</t>
  </si>
  <si>
    <t>https://www.megameediagrupp.ee/valimeedia/reklaamtahvlid-6x3?mapid=5fd72a0e4aab1&amp;side=1</t>
  </si>
  <si>
    <t>https://www.megameediagrupp.ee/valimeedia/reklaamtahvlid-6x3?mapid=5fd72a0e4aab1&amp;side=2</t>
  </si>
  <si>
    <t>https://www.megameediagrupp.ee/valimeedia/reklaamtahvlid-6x3?mapid=5fd72a0e4fc59&amp;side=1</t>
  </si>
  <si>
    <t>https://www.megameediagrupp.ee/valimeedia/reklaamtahvlid-6x3?mapid=5fd72a0e4fc59&amp;side=2</t>
  </si>
  <si>
    <t>https://www.megameediagrupp.ee/valimeedia/reklaamtahvlid-6x3?mapid=5fd72a0e52f0d&amp;side=1</t>
  </si>
  <si>
    <t>https://www.megameediagrupp.ee/valimeedia/reklaamtahvlid-6x3?mapid=5fd72a0e52f0d&amp;side=2</t>
  </si>
  <si>
    <t>https://www.megameediagrupp.ee/valimeedia/reklaamtahvlid-6x3?mapid=5fd72a0e560de&amp;side=1</t>
  </si>
  <si>
    <t>https://www.megameediagrupp.ee/valimeedia/reklaamtahvlid-6x3?mapid=5fd72a0e560de&amp;side=2</t>
  </si>
  <si>
    <t>https://www.megameediagrupp.ee/valimeedia/reklaamtahvlid-6x3?mapid=5fd72a0e5934d&amp;side=1</t>
  </si>
  <si>
    <t>https://www.megameediagrupp.ee/valimeedia/reklaamtahvlid-6x3?mapid=5fd72a0e5934d&amp;side=2</t>
  </si>
  <si>
    <t>https://www.megameediagrupp.ee/valimeedia/reklaamtahvlid-6x3?mapid=5fd72a0e5c481&amp;side=1</t>
  </si>
  <si>
    <t>https://www.megameediagrupp.ee/valimeedia/reklaamtahvlid-6x3?mapid=5fd72a0e5c481&amp;side=2</t>
  </si>
  <si>
    <t>https://www.megameediagrupp.ee/valimeedia/reklaamtahvlid-6x3?mapid=5fd72a0e5f5fe&amp;side=1</t>
  </si>
  <si>
    <t>https://www.megameediagrupp.ee/valimeedia/reklaamtahvlid-6x3?mapid=5fd72a0e5f5fe&amp;side=2</t>
  </si>
  <si>
    <t>https://www.megameediagrupp.ee/valimeedia/reklaamtahvlid-6x3?mapid=5fd72a0e628d3&amp;side=1</t>
  </si>
  <si>
    <t>https://www.megameediagrupp.ee/valimeedia/reklaamtahvlid-6x3?mapid=5fd72a0e628d3&amp;side=2</t>
  </si>
  <si>
    <t>https://www.megameediagrupp.ee/valimeedia/reklaamtahvlid-6x3?mapid=5fd72a0e65cdb&amp;side=1</t>
  </si>
  <si>
    <t>https://www.megameediagrupp.ee/valimeedia/reklaamtahvlid-6x3?mapid=5fd72a0e65cdb&amp;side=2</t>
  </si>
  <si>
    <t>https://www.megameediagrupp.ee/valimeedia/reklaamtahvlid-6x3?mapid=5fd72a0e691be&amp;side=1</t>
  </si>
  <si>
    <t>https://www.megameediagrupp.ee/valimeedia/reklaamtahvlid-6x3?mapid=5fd72a0e691be&amp;side=2</t>
  </si>
  <si>
    <t>https://www.megameediagrupp.ee/valimeedia/reklaamtahvlid-6x3?mapid=5fd72a0e6c63f&amp;side=1</t>
  </si>
  <si>
    <t>https://www.megameediagrupp.ee/valimeedia/reklaamtahvlid-6x3?mapid=5fd72a0e6c63f&amp;side=2</t>
  </si>
  <si>
    <t>https://www.megameediagrupp.ee/valimeedia/reklaamtahvlid-6x3?mapid=5fd72a0e7015c&amp;side=1</t>
  </si>
  <si>
    <t>https://www.megameediagrupp.ee/valimeedia/reklaamtahvlid-6x3?mapid=5fd72a0e7015c&amp;side=2</t>
  </si>
  <si>
    <t>https://www.megameediagrupp.ee/valimeedia/reklaamtahvlid-6x3?mapid=5fd72a0e73d92&amp;side=1</t>
  </si>
  <si>
    <t>https://www.megameediagrupp.ee/valimeedia/reklaamtahvlid-6x3?mapid=5fd72a0e73d92&amp;side=2</t>
  </si>
  <si>
    <t>https://www.megameediagrupp.ee/valimeedia/reklaamtahvlid-6x3?mapid=5fd72a0e778d6&amp;side=1</t>
  </si>
  <si>
    <t>https://www.megameediagrupp.ee/valimeedia/reklaamtahvlid-6x3?mapid=5fd72a0e778d6&amp;side=2</t>
  </si>
  <si>
    <t>https://www.megameediagrupp.ee/valimeedia/reklaamtahvlid-6x3?mapid=5fd72a0e7b808&amp;side=1</t>
  </si>
  <si>
    <t>https://www.megameediagrupp.ee/valimeedia/reklaamtahvlid-6x3?mapid=5fd72a0e7b808&amp;side=2</t>
  </si>
  <si>
    <t>https://www.megameediagrupp.ee/valimeedia/reklaamtahvlid-6x3?mapid=5fd72a0e7f24e&amp;side=1</t>
  </si>
  <si>
    <t>https://www.megameediagrupp.ee/valimeedia/reklaamtahvlid-6x3?mapid=5fd72a0e7f24e&amp;side=2</t>
  </si>
  <si>
    <t>https://www.megameediagrupp.ee/valimeedia/reklaamtahvlid-6x3?mapid=5fd72a0e82851&amp;side=1</t>
  </si>
  <si>
    <t>https://www.megameediagrupp.ee/valimeedia/reklaamtahvlid-6x3?mapid=5fd72a0e82851&amp;side=2</t>
  </si>
  <si>
    <t>https://www.megameediagrupp.ee/valimeedia/reklaamtahvlid-6x3?mapid=5fd72a0e85e69&amp;side=1</t>
  </si>
  <si>
    <t>https://www.megameediagrupp.ee/valimeedia/reklaamtahvlid-6x3?mapid=5fd72a0e85e69&amp;side=2</t>
  </si>
  <si>
    <t>https://www.megameediagrupp.ee/valimeedia/reklaamtahvlid-6x3?mapid=5fd72a0e8ac40&amp;side=1</t>
  </si>
  <si>
    <t>https://www.megameediagrupp.ee/valimeedia/reklaamtahvlid-6x3?mapid=5fd72a0e8ac40&amp;side=2</t>
  </si>
  <si>
    <t>https://www.megameediagrupp.ee/valimeedia/reklaamtahvlid-6x3?mapid=5fd72a0e8e1d0&amp;side=1</t>
  </si>
  <si>
    <t>https://www.megameediagrupp.ee/valimeedia/reklaamtahvlid-6x3?mapid=5fd72a0e8e1d0&amp;side=2</t>
  </si>
  <si>
    <t>https://www.megameediagrupp.ee/valimeedia/reklaamtahvlid-6x3?mapid=5fd72a0e914c8&amp;side=1</t>
  </si>
  <si>
    <t>https://www.megameediagrupp.ee/valimeedia/reklaamtahvlid-6x3?mapid=5fd72a0e914c8&amp;side=2</t>
  </si>
  <si>
    <t>https://www.megameediagrupp.ee/valimeedia/reklaamtahvlid-6x3?mapid=5fd72a0e9479c&amp;side=1</t>
  </si>
  <si>
    <t>https://www.megameediagrupp.ee/valimeedia/reklaamtahvlid-6x3?mapid=5fd72a0e97a1a&amp;side=1</t>
  </si>
  <si>
    <t>https://www.megameediagrupp.ee/valimeedia/reklaamtahvlid-6x3?mapid=5fd72a0e9ae57&amp;side=1</t>
  </si>
  <si>
    <t>https://www.megameediagrupp.ee/valimeedia/reklaamtahvlid-6x3?mapid=5fd72a0e9e21f&amp;side=1</t>
  </si>
  <si>
    <t>https://www.megameediagrupp.ee/valimeedia/reklaamtahvlid-6x3?mapid=5fd72a0e9e21f&amp;side=2</t>
  </si>
  <si>
    <t>https://www.megameediagrupp.ee/valimeedia/reklaamtahvlid-6x3?mapid=5fd72a0ea19e4&amp;side=1</t>
  </si>
  <si>
    <t>https://www.megameediagrupp.ee/valimeedia/reklaamtahvlid-6x3?mapid=5fd72a0ea19e4&amp;side=2</t>
  </si>
  <si>
    <t>https://www.megameediagrupp.ee/valimeedia/reklaamtahvlid-6x3?mapid=5fd72a0ea4f87&amp;side=1</t>
  </si>
  <si>
    <t>https://www.megameediagrupp.ee/valimeedia/reklaamtahvlid-6x3?mapid=5fd72a0ea4f87&amp;side=2</t>
  </si>
  <si>
    <t>https://www.megameediagrupp.ee/valimeedia/reklaamtahvlid-6x3?mapid=5fd72a0ea8192&amp;side=1</t>
  </si>
  <si>
    <t>https://www.megameediagrupp.ee/valimeedia/reklaamtahvlid-6x3?mapid=5fd72a0ea8192&amp;side=2</t>
  </si>
  <si>
    <t>https://www.megameediagrupp.ee/valimeedia/reklaamtahvlid-6x3?mapid=5fd72a0eab94a&amp;side=1</t>
  </si>
  <si>
    <t>https://www.megameediagrupp.ee/valimeedia/reklaamtahvlid-6x3?mapid=5fd72a0eaeac4&amp;side=1</t>
  </si>
  <si>
    <t>https://www.megameediagrupp.ee/valimeedia/reklaamtahvlid-6x3?mapid=5fd72a0eaeac4&amp;side=2</t>
  </si>
  <si>
    <t>https://www.megameediagrupp.ee/valimeedia/reklaamtahvlid-6x3?mapid=5fd72a0eb1ed2&amp;side=1</t>
  </si>
  <si>
    <t>https://www.megameediagrupp.ee/valimeedia/reklaamtahvlid-6x3?mapid=5fd72a0eb54be&amp;side=1</t>
  </si>
  <si>
    <t>https://www.megameediagrupp.ee/valimeedia/reklaamtahvlid-6x3?mapid=5fd72a0eb8913&amp;side=1</t>
  </si>
  <si>
    <t>https://www.megameediagrupp.ee/valimeedia/reklaamtahvlid-6x3?mapid=5fd72a0eb8913&amp;side=2</t>
  </si>
  <si>
    <t>https://www.megameediagrupp.ee/valimeedia/reklaamtahvlid-6x3?mapid=5fd72a0ebbd7f&amp;side=1</t>
  </si>
  <si>
    <t>https://www.megameediagrupp.ee/valimeedia/reklaamtahvlid-6x3?mapid=5fd72a0ebbd7f&amp;side=2</t>
  </si>
  <si>
    <t>https://www.megameediagrupp.ee/valimeedia/reklaamtahvlid-6x3?mapid=5fd72a0ebf210&amp;side=1</t>
  </si>
  <si>
    <t>https://www.megameediagrupp.ee/valimeedia/reklaamtahvlid-6x3?mapid=5fd72a0ebf210&amp;side=2</t>
  </si>
  <si>
    <t>https://www.megameediagrupp.ee/valimeedia/reklaamtahvlid-6x3?mapid=5fd72a0ec27bc&amp;side=1</t>
  </si>
  <si>
    <t>https://www.megameediagrupp.ee/valimeedia/reklaamtahvlid-6x3?mapid=5fd72a0ec27bc&amp;side=2</t>
  </si>
  <si>
    <t>https://www.megameediagrupp.ee/valimeedia/reklaamtahvlid-6x3?mapid=5fd72a0ec5c4e&amp;side=1</t>
  </si>
  <si>
    <t>https://www.megameediagrupp.ee/valimeedia/reklaamtahvlid-6x3?mapid=5fd72a0ec5c4e&amp;side=2</t>
  </si>
  <si>
    <t>https://www.megameediagrupp.ee/valimeedia/reklaamtahvlid-6x3?mapid=5fd72a0ec951b&amp;side=1</t>
  </si>
  <si>
    <t>https://www.megameediagrupp.ee/valimeedia/reklaamtahvlid-6x3?mapid=5fd72a0ec951b&amp;side=2</t>
  </si>
  <si>
    <t>https://www.megameediagrupp.ee/valimeedia/reklaamtahvlid-6x3?mapid=5fd72a0eccfd7&amp;side=1</t>
  </si>
  <si>
    <t>https://www.megameediagrupp.ee/valimeedia/reklaamtahvlid-6x3?mapid=5fd72a0eccfd7&amp;side=2</t>
  </si>
  <si>
    <t>https://www.megameediagrupp.ee/valimeedia/reklaamtahvlid-6x3?mapid=5fd72a0ed02f5&amp;side=1</t>
  </si>
  <si>
    <t>https://www.megameediagrupp.ee/valimeedia/reklaamtahvlid-6x3?mapid=5fd72a0ed02f5&amp;side=2</t>
  </si>
  <si>
    <t>https://www.megameediagrupp.ee/valimeedia/reklaamtahvlid-6x3?mapid=5fd72a0ed3a73&amp;side=1</t>
  </si>
  <si>
    <t>https://www.megameediagrupp.ee/valimeedia/reklaamtahvlid-6x3?mapid=5fd72a0ed3a73&amp;side=2</t>
  </si>
  <si>
    <t>https://www.megameediagrupp.ee/valimeedia/reklaamtahvlid-6x3?mapid=5fd72a0ed73f7&amp;side=1</t>
  </si>
  <si>
    <t>https://www.megameediagrupp.ee/valimeedia/reklaamtahvlid-6x3?mapid=5fd72a0ed73f7&amp;side=2</t>
  </si>
  <si>
    <t>https://www.megameediagrupp.ee/valimeedia/reklaamtahvlid-6x3?mapid=5fd72a0edabb1&amp;side=1</t>
  </si>
  <si>
    <t>https://www.megameediagrupp.ee/valimeedia/reklaamtahvlid-6x3?mapid=5fd72a0edabb1&amp;side=2</t>
  </si>
  <si>
    <t>https://www.megameediagrupp.ee/valimeedia/reklaamtahvlid-6x3?mapid=5fd72a0eded67&amp;side=1</t>
  </si>
  <si>
    <t>https://www.megameediagrupp.ee/valimeedia/reklaamtahvlid-6x3?mapid=5fd72a0eded67&amp;side=2</t>
  </si>
  <si>
    <t>https://www.megameediagrupp.ee/valimeedia/reklaamtahvlid-6x3?mapid=5fd72a0ee34d3&amp;side=1</t>
  </si>
  <si>
    <t>https://www.megameediagrupp.ee/valimeedia/reklaamtahvlid-6x3?mapid=5fd72a0ee34d3&amp;side=2</t>
  </si>
  <si>
    <t>https://www.megameediagrupp.ee/valimeedia/reklaamtahvlid-6x3?mapid=5fd72a0ee78bb&amp;side=1</t>
  </si>
  <si>
    <t>https://www.megameediagrupp.ee/valimeedia/reklaamtahvlid-6x3?mapid=5fd72a0eebee1&amp;side=1</t>
  </si>
  <si>
    <t>https://www.megameediagrupp.ee/valimeedia/reklaamtahvlid-6x3?mapid=5fd72a0eebee1&amp;side=2</t>
  </si>
  <si>
    <t>https://www.megameediagrupp.ee/valimeedia/reklaamtahvlid-6x3?mapid=5fd72a0ef0044&amp;side=1</t>
  </si>
  <si>
    <t>https://www.megameediagrupp.ee/valimeedia/reklaamtahvlid-6x3?mapid=5fd72a0ef0044&amp;side=2</t>
  </si>
  <si>
    <t>https://www.megameediagrupp.ee/valimeedia/reklaamtahvlid-6x3?mapid=5fd72a0ef408a&amp;side=1</t>
  </si>
  <si>
    <t>https://www.megameediagrupp.ee/valimeedia/reklaamtahvlid-6x3?mapid=5fd72a0ef408a&amp;side=2</t>
  </si>
  <si>
    <t>https://www.megameediagrupp.ee/valimeedia/reklaamtahvlid-6x3?mapid=5fd72a0f03b12&amp;side=1</t>
  </si>
  <si>
    <t>https://www.megameediagrupp.ee/valimeedia/reklaamtahvlid-6x3?mapid=5fd72a0f03b12&amp;side=2</t>
  </si>
  <si>
    <t>https://www.megameediagrupp.ee/valimeedia/reklaamtahvlid-6x3?mapid=5fd72a0f07079&amp;side=1</t>
  </si>
  <si>
    <t>https://www.megameediagrupp.ee/valimeedia/reklaamtahvlid-6x3?mapid=5fd72a0f07079&amp;side=2</t>
  </si>
  <si>
    <t>https://www.megameediagrupp.ee/valimeedia/reklaamtahvlid-6x3?mapid=5fd72a0f0a7cc&amp;side=1</t>
  </si>
  <si>
    <t>https://www.megameediagrupp.ee/valimeedia/reklaamtahvlid-6x3?mapid=5fd72a0f0a7cc&amp;side=2</t>
  </si>
  <si>
    <t>https://www.megameediagrupp.ee/valimeedia/reklaamtahvlid-6x3?mapid=5fd72a0f0db8c&amp;side=1</t>
  </si>
  <si>
    <t>https://www.megameediagrupp.ee/valimeedia/reklaamtahvlid-6x3?mapid=5fd72a0f0db8c&amp;side=2</t>
  </si>
  <si>
    <t>https://www.megameediagrupp.ee/valimeedia/reklaamtahvlid-6x3?mapid=5fd72a0f10d8f&amp;side=1</t>
  </si>
  <si>
    <t>https://www.megameediagrupp.ee/valimeedia/reklaamtahvlid-6x3?mapid=5fd72a0f10d8f&amp;side=2</t>
  </si>
  <si>
    <t>https://www.megameediagrupp.ee/valimeedia/reklaamtahvlid-6x3?mapid=5fd72a0f141b0&amp;side=1</t>
  </si>
  <si>
    <t>https://www.megameediagrupp.ee/valimeedia/reklaamtahvlid-6x3?mapid=5fd72a0f141b0&amp;side=2</t>
  </si>
  <si>
    <t>https://www.megameediagrupp.ee/valimeedia/reklaamtahvlid-6x3?mapid=5fd72a0f175d6&amp;side=1</t>
  </si>
  <si>
    <t>https://www.megameediagrupp.ee/valimeedia/reklaamtahvlid-6x3?mapid=5fd72a0f175d6&amp;side=2</t>
  </si>
  <si>
    <t>https://www.megameediagrupp.ee/valimeedia/reklaamtahvlid-6x3?mapid=5fd72a0f1b03b&amp;side=1</t>
  </si>
  <si>
    <t>https://www.megameediagrupp.ee/valimeedia/reklaamtahvlid-6x3?mapid=5fd72a0f1b03b&amp;side=2</t>
  </si>
  <si>
    <t>https://www.megameediagrupp.ee/valimeedia/reklaamtahvlid-6x3?mapid=5fd72a0f1eb1e&amp;side=1</t>
  </si>
  <si>
    <t>https://www.megameediagrupp.ee/valimeedia/reklaamtahvlid-6x3?mapid=5fd72a0f1eb1e&amp;side=2</t>
  </si>
  <si>
    <t>https://www.megameediagrupp.ee/valimeedia/reklaamtahvlid-6x3?mapid=5fd72a0f21fb3&amp;side=1</t>
  </si>
  <si>
    <t>https://www.megameediagrupp.ee/valimeedia/reklaamtahvlid-6x3?mapid=5fd72a0f21fb3&amp;side=2</t>
  </si>
  <si>
    <t>https://www.megameediagrupp.ee/valimeedia/reklaamtahvlid-6x3?mapid=5fd72a0f25483&amp;side=1</t>
  </si>
  <si>
    <t>https://www.megameediagrupp.ee/valimeedia/reklaamtahvlid-6x3?mapid=5fd72a0f25483&amp;side=2</t>
  </si>
  <si>
    <t>https://www.megameediagrupp.ee/valimeedia/reklaamtahvlid-6x3?mapid=5fd72a0f28c4a&amp;side=1</t>
  </si>
  <si>
    <t>https://www.megameediagrupp.ee/valimeedia/reklaamtahvlid-6x3?mapid=5fd72a0f28c4a&amp;side=2</t>
  </si>
  <si>
    <t>https://www.megameediagrupp.ee/valimeedia/reklaamtahvlid-6x3?mapid=5fd72a0f2beba&amp;side=1</t>
  </si>
  <si>
    <t>https://www.megameediagrupp.ee/valimeedia/reklaamtahvlid-6x3?mapid=5fd72a0f2beba&amp;side=2</t>
  </si>
  <si>
    <t>https://www.megameediagrupp.ee/valimeedia/reklaamtahvlid-6x3?mapid=5fd72a0f2f327&amp;side=1</t>
  </si>
  <si>
    <t>https://www.megameediagrupp.ee/valimeedia/reklaamtahvlid-6x3?mapid=5fd72a0f2f327&amp;side=2</t>
  </si>
  <si>
    <t>https://www.megameediagrupp.ee/valimeedia/reklaamtahvlid-6x3?mapid=5fd72a0f326e9&amp;side=1</t>
  </si>
  <si>
    <t>https://www.megameediagrupp.ee/valimeedia/reklaamtahvlid-6x3?mapid=5fd72a0f326e9&amp;side=2</t>
  </si>
  <si>
    <t>https://www.megameediagrupp.ee/valimeedia/reklaamtahvlid-6x3?mapid=5fd72a0f35a23&amp;side=1</t>
  </si>
  <si>
    <t>https://www.megameediagrupp.ee/valimeedia/reklaamtahvlid-6x3?mapid=5fd72a0f35a23&amp;side=2</t>
  </si>
  <si>
    <t>https://www.megameediagrupp.ee/valimeedia/reklaamtahvlid-6x3?mapid=5fd72a0f38d65&amp;side=1</t>
  </si>
  <si>
    <t>https://www.megameediagrupp.ee/valimeedia/reklaamtahvlid-6x3?mapid=5fd72a0f38d65&amp;side=2</t>
  </si>
  <si>
    <t>https://www.megameediagrupp.ee/valimeedia/reklaamtahvlid-6x3?mapid=5fd72a0f3c1c7&amp;side=1</t>
  </si>
  <si>
    <t>https://www.megameediagrupp.ee/valimeedia/reklaamtahvlid-6x3?mapid=5fd72a0f3c1c7&amp;side=2</t>
  </si>
  <si>
    <t>https://www.megameediagrupp.ee/valimeedia/reklaamtahvlid-6x3?mapid=5fd72a0f3f491&amp;side=1</t>
  </si>
  <si>
    <t>https://www.megameediagrupp.ee/valimeedia/reklaamtahvlid-6x3?mapid=5fd72a0f3f491&amp;side=2</t>
  </si>
  <si>
    <t>https://www.megameediagrupp.ee/valimeedia/reklaamtahvlid-6x3?mapid=5fd72a0f42b2a&amp;side=1</t>
  </si>
  <si>
    <t>https://www.megameediagrupp.ee/valimeedia/reklaamtahvlid-6x3?mapid=5fd72a0f42b2a&amp;side=2</t>
  </si>
  <si>
    <t>https://www.megameediagrupp.ee/valimeedia/reklaamtahvlid-6x3?mapid=5fd72a0f463ca&amp;side=1</t>
  </si>
  <si>
    <t>https://www.megameediagrupp.ee/valimeedia/reklaamtahvlid-6x3?mapid=5fd72a0f463ca&amp;side=2</t>
  </si>
  <si>
    <t>https://www.megameediagrupp.ee/valimeedia/reklaamtahvlid-6x3?mapid=5fd72a0f49af4&amp;side=1</t>
  </si>
  <si>
    <t>https://www.megameediagrupp.ee/valimeedia/reklaamtahvlid-6x3?mapid=5fd72a0f49af4&amp;side=2</t>
  </si>
  <si>
    <t>https://www.megameediagrupp.ee/valimeedia/reklaamtahvlid-6x3?mapid=5fd72a0f4cda6&amp;side=1</t>
  </si>
  <si>
    <t>https://www.megameediagrupp.ee/valimeedia/reklaamtahvlid-6x3?mapid=5fd72a0f4cda6&amp;side=2</t>
  </si>
  <si>
    <t>https://www.megameediagrupp.ee/valimeedia/reklaamtahvlid-6x3?mapid=5fd72a0f5027d&amp;side=1</t>
  </si>
  <si>
    <t>https://www.megameediagrupp.ee/valimeedia/reklaamtahvlid-6x3?mapid=5fd72a0f5027d&amp;side=2</t>
  </si>
  <si>
    <t>https://www.megameediagrupp.ee/valimeedia/reklaamtahvlid-6x3?mapid=5fd72a0f53642&amp;side=1</t>
  </si>
  <si>
    <t>https://www.megameediagrupp.ee/valimeedia/reklaamtahvlid-6x3?mapid=5fd72a0f53642&amp;side=2</t>
  </si>
  <si>
    <t>https://www.megameediagrupp.ee/valimeedia/reklaamtahvlid-6x3?mapid=5fd72a0f56c95&amp;side=1</t>
  </si>
  <si>
    <t>https://www.megameediagrupp.ee/valimeedia/reklaamtahvlid-6x3?mapid=5fd72a0f56c95&amp;side=2</t>
  </si>
  <si>
    <t>https://www.megameediagrupp.ee/valimeedia/reklaamtahvlid-6x3?mapid=5fd72a0f5a30a&amp;side=1</t>
  </si>
  <si>
    <t>https://www.megameediagrupp.ee/valimeedia/reklaamtahvlid-6x3?mapid=5fd72a0f5a30a&amp;side=2</t>
  </si>
  <si>
    <t>https://www.megameediagrupp.ee/valimeedia/reklaamtahvlid-6x3?mapid=5fd72a0f5d63d&amp;side=1</t>
  </si>
  <si>
    <t>https://www.megameediagrupp.ee/valimeedia/reklaamtahvlid-6x3?mapid=5fd72a0f5d63d&amp;side=2</t>
  </si>
  <si>
    <t>https://www.megameediagrupp.ee/valimeedia/reklaamtahvlid-6x3?mapid=5fd72a0f60b28&amp;side=1</t>
  </si>
  <si>
    <t>https://www.megameediagrupp.ee/valimeedia/reklaamtahvlid-6x3?mapid=5fd72a0f63e23&amp;side=1</t>
  </si>
  <si>
    <t>https://www.megameediagrupp.ee/valimeedia/reklaamtahvlid-6x3?mapid=5fd72a0f63e23&amp;side=2</t>
  </si>
  <si>
    <t>https://www.megameediagrupp.ee/valimeedia/erimoodulised-reklaampinnad?mapid=5fd7296b121db&amp;side=1</t>
  </si>
  <si>
    <t>https://www.megameediagrupp.ee/valimeedia/erimoodulised-reklaampinnad?mapid=5fd7296b133c3&amp;side=1</t>
  </si>
  <si>
    <t>https://www.megameediagrupp.ee/valimeedia/erimoodulised-reklaampinnad?mapid=5fd7296b143ca&amp;side=1</t>
  </si>
  <si>
    <t>https://www.megameediagrupp.ee/valimeedia/erimoodulised-reklaampinnad?mapid=5fd7296b15406&amp;side=1</t>
  </si>
  <si>
    <t>https://www.megameediagrupp.ee/valimeedia/erimoodulised-reklaampinnad?mapid=5fd7296b16433&amp;side=1</t>
  </si>
  <si>
    <t>https://www.megameediagrupp.ee/valimeedia/erimoodulised-reklaampinnad?mapid=5fd7296b17318&amp;side=1</t>
  </si>
  <si>
    <t>https://www.megameediagrupp.ee/valimeedia/erimoodulised-reklaampinnad?mapid=5fd7296b1834b&amp;side=1</t>
  </si>
  <si>
    <t>https://www.megameediagrupp.ee/valimeedia/erimoodulised-reklaampinnad?mapid=5fd7296b19299&amp;side=1</t>
  </si>
  <si>
    <t>https://www.megameediagrupp.ee/valimeedia/erimoodulised-reklaampinnad?mapid=5fe315f99bcc2&amp;side=1</t>
  </si>
  <si>
    <t>https://www.megameediagrupp.ee/valimeedia/erimoodulised-reklaampinnad?mapid=5fd7296b1a63d&amp;side=1</t>
  </si>
  <si>
    <t>https://www.megameediagrupp.ee/valimeedia/erimoodulised-reklaampinnad?mapid=5fd7296b1bb07&amp;side=1</t>
  </si>
  <si>
    <t>https://www.megameediagrupp.ee/valimeedia/erimoodulised-reklaampinnad?mapid=5fd7296b1cce7&amp;side=1</t>
  </si>
  <si>
    <t>https://www.megameediagrupp.ee/valimeedia/erimoodulised-reklaampinnad?mapid=5fd7296b1ee7e&amp;side=1</t>
  </si>
  <si>
    <t>https://www.megameediagrupp.ee/valimeedia/reklaampinnad-viaduktidel?mapid=5fd743d8aae65&amp;side=1</t>
  </si>
  <si>
    <t>https://www.megameediagrupp.ee/valimeedia/reklaampinnad-viaduktidel?mapid=5fd743d8b29bd&amp;side=1</t>
  </si>
  <si>
    <t>https://www.megameediagrupp.ee/valimeedia/reklaampinnad-viaduktidel?mapid=5fd743d8ba6ac&amp;side=1</t>
  </si>
  <si>
    <t>https://www.megameediagrupp.ee/valimeedia/reklaampinnad-viaduktidel?mapid=5fd743d8c305f&amp;side=1</t>
  </si>
  <si>
    <t>https://www.megameediagrupp.ee/valimeedia/erimoodulised-reklaampinnad?mapid=5fd7296b246db&amp;side=1</t>
  </si>
  <si>
    <t>https://www.megameediagrupp.ee/valimeedia/erimoodulised-reklaampinnad?mapid=5fd7296b246db&amp;side=2</t>
  </si>
  <si>
    <t>https://www.megameediagrupp.ee/valimeedia/erimoodulised-reklaampinnad?mapid=5fd7296b25a4e&amp;side=1</t>
  </si>
  <si>
    <t>https://www.megameediagrupp.ee/valimeedia/erimoodulised-reklaampinnad?mapid=5fd7296b25a4e&amp;side=2</t>
  </si>
  <si>
    <t>Pärnu mnt.186 eraldusribal / Virve 8 (186-2), linnast (mõõt 5,5x2,7m)</t>
  </si>
  <si>
    <t>Pärnu mnt.186 eraldusribal(uus nimi 186-1), kesklinna suund</t>
  </si>
  <si>
    <t>Pärnu mnt.186 eraldusribal (uus nimi 186-1), kesklinnast</t>
  </si>
  <si>
    <t>Pärnu mnt. Amserv, eraldusribal, kesklinna</t>
  </si>
  <si>
    <t>Pärnu mnt. Amserv, eraldusribal, kesklinnast</t>
  </si>
  <si>
    <t>Pärnu mnt.T9, viadukt, suunaga Mustamäele</t>
  </si>
  <si>
    <t xml:space="preserve">Mustamäe tee 19, kesklinna </t>
  </si>
  <si>
    <t xml:space="preserve">Mustamäe tee 19, kesklinnast </t>
  </si>
  <si>
    <t>Mustamäe /Paldiski mnt. rist, suunaga Haaberstisse</t>
  </si>
  <si>
    <t>Mustamäe/Paldiski mnt. rist suunaga kesklinna</t>
  </si>
  <si>
    <t>Paldiski mnt 95, kesklinnast.</t>
  </si>
  <si>
    <t>Paldiski mnt 95, kesklinna</t>
  </si>
  <si>
    <t>Paldiski mnt.Humala tn. Ristmik,  eraldusribal, Õismäele linnast</t>
  </si>
  <si>
    <t>Paldiski mnt.Humala tn. Ristmik,  eraldusribal, Õismäelt linna</t>
  </si>
  <si>
    <t>Paldiski mnt.80, eraldusribal, G4S vastas, suund kesklinnast</t>
  </si>
  <si>
    <t xml:space="preserve">Paldiski mnt. 131, eraldusribal, kesklinna </t>
  </si>
  <si>
    <t>Paldiski mnt. 131, eraldusribal, kesklinnast</t>
  </si>
  <si>
    <t>Paldiski mnt. 127, eraldusribal, kesklinna</t>
  </si>
  <si>
    <t>Paldiski mnt. 127, eraldusribal, kesklinnast</t>
  </si>
  <si>
    <t xml:space="preserve">Paldiski mnt 94a, eraldusribal, kesklinnast                         </t>
  </si>
  <si>
    <t xml:space="preserve">Paldiski mnt 94a, eraldusribal, kesklinna                           </t>
  </si>
  <si>
    <t xml:space="preserve">Paldiski mnt 96, eraldusribal, kesklinnast                          </t>
  </si>
  <si>
    <t xml:space="preserve">Paldiski mnt 96, eraldusribal, kesklinna                             </t>
  </si>
  <si>
    <t xml:space="preserve">Paldiski mnt 96a, eraldusribal, kesklinnast                        </t>
  </si>
  <si>
    <t xml:space="preserve">Paldiski mnt 96a, eraldusribal, kesklinna                           </t>
  </si>
  <si>
    <t>Paldiski mnt. Neste vastas, eraldusribal, kesklinna</t>
  </si>
  <si>
    <t>Paldiski mnt. Neste vastas, eraldusribal, kesklinnast</t>
  </si>
  <si>
    <t xml:space="preserve">Paldiski mnt. 100a, eraldusribal, kesklinnast                      </t>
  </si>
  <si>
    <t xml:space="preserve">Paldiski mnt. 100a, eraldusribal, kesklinna                       </t>
  </si>
  <si>
    <t>Paldiski mnt.ROCCA AL MARE keskuse vastas, kesklinna</t>
  </si>
  <si>
    <t>Paldiski mnt.ROCCA AL MARE keskuse vastas, Õismäele</t>
  </si>
  <si>
    <t>Paldiski mnt.Status Clubiga kohakuti, kesklinna</t>
  </si>
  <si>
    <t>Paldiski mnt.Status Clubiga kohakuti, kesklinnast</t>
  </si>
  <si>
    <t xml:space="preserve">Paldiski mnt. Vabaóhumuuseumi tee juures, kesklinna  </t>
  </si>
  <si>
    <t xml:space="preserve">Paldiski mnt. Vabaóhumuuseumi tee juures, kesklinnast </t>
  </si>
  <si>
    <t>Paldiski mnt.102/ Saku Suurhalli ees suund linnast välja</t>
  </si>
  <si>
    <t>Rannamõisa tee 1a, eraldusribal, Arigato, suund kesklinnast</t>
  </si>
  <si>
    <t>Rannamõisa tee 1a, eraldusribal, Arigato, suund kesklinna</t>
  </si>
  <si>
    <t>Haabersti ringi keskel, kesklinnast tulles</t>
  </si>
  <si>
    <t>Haabersti ringi keskel, Rannamõisa teel tulles</t>
  </si>
  <si>
    <t>Rannamõisa tee 3, "Bauhaus" vastas, suund linnast välja, eraldusribal</t>
  </si>
  <si>
    <t>Rannamõisa tee 3, "Bauhaus" vastas, suund linna, eraldusribal</t>
  </si>
  <si>
    <t xml:space="preserve">Rannamõisa tee 6, "Kakumäe Selver" vastas, suund linnast välja </t>
  </si>
  <si>
    <t>Rannamõisa tee 6, "Kakumäe Selver" vastas, suund linna</t>
  </si>
  <si>
    <t>Öismäe tee/Ehitajate tee ristmik  (Subaru keskuse vastas), Haaberstisse</t>
  </si>
  <si>
    <t>Öismäe tee/Ehitajate tee ristmik (Subaru keskuse vastas), Haaberstist</t>
  </si>
  <si>
    <t xml:space="preserve">Õismäe tee ring, Nurmenuku poe juures, kesklinna                   </t>
  </si>
  <si>
    <t xml:space="preserve">Õismäe tee ring Nurmenuku poe juures, kesklinnast                   </t>
  </si>
  <si>
    <t xml:space="preserve">Paldiski mnt./Óismäe tee ristmik, kesklinna </t>
  </si>
  <si>
    <t xml:space="preserve">Paldiski mnt./Óismäe tee ristmik, kesklinnast </t>
  </si>
  <si>
    <t>Öismäe tee 87  sõidusuunas (eraldussaarekesel), Väike õismäe peatus, kesklinna</t>
  </si>
  <si>
    <t>Õismäe tee 87 vastasuunas (eraldussaarekesel), Väike Õismäe peatus, kesklinnast</t>
  </si>
  <si>
    <t xml:space="preserve">Ehitajate tee 122 (Autospirit Keskuse ees), </t>
  </si>
  <si>
    <t xml:space="preserve">Ehitajate tee 122  (Autospirit Keskuse ees)   </t>
  </si>
  <si>
    <t xml:space="preserve">Ehitajate tee 105*,kesklinna </t>
  </si>
  <si>
    <t xml:space="preserve">Ehitajate tee 105*, kesklinnast </t>
  </si>
  <si>
    <t xml:space="preserve">Sõpruse pst.6 ees, kesklinnast, </t>
  </si>
  <si>
    <t xml:space="preserve">Sõpruse pst.6 ees, kesklinna </t>
  </si>
  <si>
    <t>Sõpruse pst.enne Rimi kauplust, kesklinnast</t>
  </si>
  <si>
    <t>Sõpruse pst. Enne Rimi kauplust, kesklinna</t>
  </si>
  <si>
    <t xml:space="preserve">Sõpruse pst. ja Linnu tee rist, kesklinnast </t>
  </si>
  <si>
    <t xml:space="preserve">Sõpruse pst. ja Linnu tee rist, kesklinna </t>
  </si>
  <si>
    <t>Sõpruse pst. Siili, kesklinna</t>
  </si>
  <si>
    <t xml:space="preserve">Sõpruse pst. Siili, kesklinnast </t>
  </si>
  <si>
    <t>Sõpruse pst./Tammsaare tee ristmik, suund kesklinnast</t>
  </si>
  <si>
    <t>Sõpruse pst./Tammsaare tee ristmik, suund kesklinna</t>
  </si>
  <si>
    <t xml:space="preserve">Sõpruse pst. 201/203, kesklinna                                  </t>
  </si>
  <si>
    <t xml:space="preserve">Sõpruse pst. 201/203, kesklinnast                           </t>
  </si>
  <si>
    <t>Sõpruse pst./"Magistral"  suunaga kesklinna</t>
  </si>
  <si>
    <t xml:space="preserve">Sõpruse pst. /"Magistral"  suunaga kesklinnast </t>
  </si>
  <si>
    <t>Tammsaare tee/Sõpruse pst. nurgal , Haaberstisse</t>
  </si>
  <si>
    <t xml:space="preserve">Tammsaare tee/Sõpruse pst. nurgal, Ülemistesse </t>
  </si>
  <si>
    <t>Tammsaare tee/Retke tee rist, Ülemistesse</t>
  </si>
  <si>
    <t xml:space="preserve">Tammsaare tee/Retke tee rist, Haaberstisse  </t>
  </si>
  <si>
    <t xml:space="preserve">Tammsaare tee/Rahumäe ristmik, suund Ülemistesse </t>
  </si>
  <si>
    <t>Tammsaare tee/Rahumäe ristmik, suund Mustamäele</t>
  </si>
  <si>
    <t>Tammsaare tee/Tondi Selver, suund Mustamäele</t>
  </si>
  <si>
    <t>Tammsaare tee /Tondi Selver suund Ülemistesse</t>
  </si>
  <si>
    <t>Mustamäe tee/Tammsaare tee ristmik, kesklinnast</t>
  </si>
  <si>
    <t xml:space="preserve">Mustamäe tee/Tammsaare tee ristmik, kesklinna </t>
  </si>
  <si>
    <t>Mustamäe tee/Tammsaare tee ristmik, Circkle K, suunaga kesklinna</t>
  </si>
  <si>
    <t>Mustamäe tee/Tammsaare tee ristmik, Circkle K, suunaga kesklinnast</t>
  </si>
  <si>
    <t>Mustamäe tee 137, suund kesklinna</t>
  </si>
  <si>
    <t>Mustamäe tee 137, suund kesklinnast</t>
  </si>
  <si>
    <t xml:space="preserve">Tammsaare tee 81a., suund Rocca al Maresse        </t>
  </si>
  <si>
    <t xml:space="preserve">Tammsaare tee 81a., suund Järvevana tee poole             </t>
  </si>
  <si>
    <t xml:space="preserve">Kadaka Selveri (Tammsaare tee/Ehitajate tee/Kadaka tee ristmik), Haaberstisse      </t>
  </si>
  <si>
    <t xml:space="preserve">Kadaka Selver, suund Haaberstist    </t>
  </si>
  <si>
    <t xml:space="preserve">Pärnu mnt 453h, kesklinna </t>
  </si>
  <si>
    <t xml:space="preserve">Pärnu mnt 453h, kesklinnast                              </t>
  </si>
  <si>
    <t xml:space="preserve">Pärnu mnt. Pääsküla Selveri ees, suunaga kesklinnast </t>
  </si>
  <si>
    <t xml:space="preserve">Pärnu mnt.  Pääsküla Selveri ees, suunaga kesklinna </t>
  </si>
  <si>
    <t>Ehitajate tee TTÜ bussipeatus, suunaga Nõmmele</t>
  </si>
  <si>
    <t>Ehitajate tee TTÜ bussipeatus, suunaga Mustamäele</t>
  </si>
  <si>
    <t>Vabaduse pst. ja Männiku tee ristmik   * parempoolne, vabaduse</t>
  </si>
  <si>
    <t>Männiku tee ja Vabaduse pst ristmik * vasakpoolne, männiku</t>
  </si>
  <si>
    <t>Tehnika/Endla tn.rist, Kristiine viadukti kallakul, suund Kristiinesse</t>
  </si>
  <si>
    <t xml:space="preserve">Narva mnt 23, (mõõt 6X3m) </t>
  </si>
  <si>
    <t>Ahtri 6 suund linna</t>
  </si>
  <si>
    <t>Suur-Ameerika 35 kesklinna pool (mõõt 6x3m), suund Kristiinesse</t>
  </si>
  <si>
    <t>Tartu mnt 75 ees, suund kesklinna (Europarklas)</t>
  </si>
  <si>
    <t>Tartu mnt 75 ees, suund kesklinnast (Europarklas)</t>
  </si>
  <si>
    <t>Tartu mnt. Sikupilli Keskuse ees (Fahle vastas),  suund kesklinna</t>
  </si>
  <si>
    <t>Tartu mnt. Sikupilli Keskuse ees (Fahle vastas), suund kesklinnast</t>
  </si>
  <si>
    <t>Tartu mnt 87, Sikupilli Keskuse ees (Prisma), suund kesklinna</t>
  </si>
  <si>
    <t>Tartu mnt 87, Sikupilli Keskuse ees (Prisma), suund kesklinnast</t>
  </si>
  <si>
    <t>Pärnu mnt ja Rapla tn ristmik, kesklinna</t>
  </si>
  <si>
    <t xml:space="preserve">Pärnu mnt ja Rapla tn ristmik, kesklinnast </t>
  </si>
  <si>
    <t>Tartu mnt/Järvevana</t>
  </si>
  <si>
    <t>Tartu mnt.119/ "Vianor" juures, väljasõit (5,5 x 2,7m)</t>
  </si>
  <si>
    <t>Tartu mnt. Lennujaama juures*, kesklinna</t>
  </si>
  <si>
    <t>Tartu mnt. Lennujaama juures*, kesklinnast</t>
  </si>
  <si>
    <t>Tartu mnt/ "Ülemiste Keskus"-ga kohakuti, väljasõit (5,5 x 2,7m)</t>
  </si>
  <si>
    <t xml:space="preserve">Tartu mnt väljasõit post nr.3, kesklinnast  </t>
  </si>
  <si>
    <t>Järvevana tee/Tartu mnt ristmiku juures, Ülemistesse</t>
  </si>
  <si>
    <t>Järvevana tee/Tartu mnt ristmiku juures, Järvele</t>
  </si>
  <si>
    <t>Järvevana tee/Circkle K, suund Järvele</t>
  </si>
  <si>
    <t>Järvevana tee/Circkle K, suund Ülemistesse</t>
  </si>
  <si>
    <t>Järvevana tee, suund "Ülemiste Keskus"</t>
  </si>
  <si>
    <t>Järvevana tee, suund Järvele</t>
  </si>
  <si>
    <t>Järvevana tee/Veepuhastusjaam - suund Ülemistesse</t>
  </si>
  <si>
    <t>Järvevana tee/Veepuhastusjaam - suund Järvele</t>
  </si>
  <si>
    <t>Järvevana tee/ Veerenni rist, post 2, suund Ülemistesse</t>
  </si>
  <si>
    <t xml:space="preserve">Järvevana tee/Veerenni rist, post 2, suund Järvele </t>
  </si>
  <si>
    <t>Järvevana tee/Veerenni rist - suund Ülemistesse-1</t>
  </si>
  <si>
    <t>Järvevana tee/Veerenni rist - suund Järvele</t>
  </si>
  <si>
    <t>Järvevana tee- Peterburi tee tunneli ja viadukti vahel suund Lasnamäe</t>
  </si>
  <si>
    <t>Järvana tee-Peterburi tee tunneli ja viadukti vahel suund Järvele</t>
  </si>
  <si>
    <t>Järvevana tee-viadukt - Espak kauplusega kohakuti, suund Järvele</t>
  </si>
  <si>
    <t>Järvevana tee - viadukt - Espak kauplusega kohakuti, suund Peterburi teele</t>
  </si>
  <si>
    <t xml:space="preserve">Peterburi tee 4, kesklinnast </t>
  </si>
  <si>
    <t xml:space="preserve">Peterburi tee 4, kesklinna </t>
  </si>
  <si>
    <t>Peterburi mnt.50 (enne viadukti), suund linnast</t>
  </si>
  <si>
    <t>Peterburi mnt.50(enne viadukti), suund linna</t>
  </si>
  <si>
    <t xml:space="preserve">Peterburi tee ja Vesse tn ristmik *, kesklinnast </t>
  </si>
  <si>
    <t xml:space="preserve">Peterburi tee ja Vesse tn ristmik*, kesklinna </t>
  </si>
  <si>
    <t>Peterburi mnt / Smuuli nurk, suunaga linnast</t>
  </si>
  <si>
    <t>Peterburi mnt / Smuuli nurk, suunaga linna</t>
  </si>
  <si>
    <t>Peterburi tee ja Smuuli tee ristmik  *, linnast</t>
  </si>
  <si>
    <t xml:space="preserve">Peterburi tee ja Smuuli tee ristmik  *, linna </t>
  </si>
  <si>
    <t xml:space="preserve">Peterburi tee ja Smuuli tee ristmik, Circkle K juures * </t>
  </si>
  <si>
    <t>Peterburi tee ja Kuuli tn. ristmik, eraldusribal  *, suund kesklinnast</t>
  </si>
  <si>
    <t xml:space="preserve">Peterburi tee ja Kuuli tn. ristmik, eraldusribal  *, suund kesklinna </t>
  </si>
  <si>
    <t>Peterburi tee ja Paneeli tn rismik *, suund kesklinnast</t>
  </si>
  <si>
    <t>Peterburi tee ja Paneeli tn rismik *, suund kesklinna</t>
  </si>
  <si>
    <t>Peterburi tee Nissani Keskusega kohakuti suund kesklinna</t>
  </si>
  <si>
    <t>Peterburi tee Nissani Keskusega kohakuti suund  kesklinnast</t>
  </si>
  <si>
    <t>Peterburi tee ja Mustakivi tee ristmik *, suund kesklinnast</t>
  </si>
  <si>
    <t xml:space="preserve">Peterburi tee ja Mustakivi tee ristmik *, suund kesklinna </t>
  </si>
  <si>
    <t>Peterburi tee, enne Mustakivi ritmikku (eraldusribal)  valgustuseta</t>
  </si>
  <si>
    <t>Peterburi tee, Katusepapi tn juures,  enne Tartu mnt ristmikku, kesklinna</t>
  </si>
  <si>
    <t>Peterburi tee , Katusepapi tn juures,  enne Tartu mnt ristmikku, kesklinnast</t>
  </si>
  <si>
    <t>Peterburi tee ja Majaka tn rist suund kesklinna</t>
  </si>
  <si>
    <t>Peterburi tee 61*, kesklinna</t>
  </si>
  <si>
    <t>Peterburi tee 61*, kesklinnast</t>
  </si>
  <si>
    <t xml:space="preserve">Peterburi tee 67a ja Smuuli ristmik, Ericssoni maja juures* </t>
  </si>
  <si>
    <t>Laagna tee algus, post nr.1, suund kesklinnast</t>
  </si>
  <si>
    <t>Laagna tee algus, post nr.1, suund kesklinna</t>
  </si>
  <si>
    <t xml:space="preserve">Laagna tee, Pallasti silla juures -1 (eraldusribal), suund kesklinnast  </t>
  </si>
  <si>
    <t xml:space="preserve">Laagna tee, Pallasti silla juures -1 (eraldusribal), suund kesklinna  </t>
  </si>
  <si>
    <t>Laagna teel, Pallasti silla juures -2, eraldusribal, suunaga kesklinnast</t>
  </si>
  <si>
    <t>Laagna teel, Pallasti silla juures -2, eraldusribal, suunaga kesklinna</t>
  </si>
  <si>
    <t>Laagna tee,Võidujooksu silla juures, kesklinnast</t>
  </si>
  <si>
    <t>Laagna tee, Võidujooksu silla juures, kesklinna</t>
  </si>
  <si>
    <t>Laagna tee/Smuuli viadukt 1, eraldusribal, suund kesklinnast</t>
  </si>
  <si>
    <t>Laagna tee/Smuuli viadukt 1, eraldusribal, suund kesklinna</t>
  </si>
  <si>
    <t xml:space="preserve">Laagna tee, Smuuli silla juures 2 (eraldusribal), linnast </t>
  </si>
  <si>
    <t xml:space="preserve">Laagna tee, Smuuli silla juures2 (eraldusribal), linna </t>
  </si>
  <si>
    <t xml:space="preserve">Laagna tee, Varraku silla juures, kesklinnast </t>
  </si>
  <si>
    <t xml:space="preserve">Laagna tee, Varraku silla juures, kesklinna </t>
  </si>
  <si>
    <t>Laagna tee,  Mustakivi silla juures  *, kesklinnast</t>
  </si>
  <si>
    <t xml:space="preserve">Laagna tee,  Mustakivi silla juures  *, kesklinna </t>
  </si>
  <si>
    <t xml:space="preserve">Laagna tee ja Mahtra tn.ristmik, Mustakivi keskuse juures, kesklinnast </t>
  </si>
  <si>
    <t xml:space="preserve">Laagna tee ja Mahtra tn.ristmik, Mustakivi keskuse juures, kesklinna </t>
  </si>
  <si>
    <t xml:space="preserve">Laagna tee, Ümera Keskuse juures (eraldusribal), kesklinnast </t>
  </si>
  <si>
    <t xml:space="preserve">Laagna tee, Ümera Keskuse juures (eraldusribal), kesklinna  </t>
  </si>
  <si>
    <t>Punase tn/ Smuuli nurgal (Peterburi mnt poole)</t>
  </si>
  <si>
    <t>Punase tn/ Smuuli nurgal (Peterburi mnt poolt)</t>
  </si>
  <si>
    <t xml:space="preserve">Punane tn. ja Smuuli tee ristmik /Tallinna Küte ees, kesklinnast </t>
  </si>
  <si>
    <t xml:space="preserve">Punane tn. ja Smuuli tee, Tallinna Küte ees, ristmik, kesklinna  </t>
  </si>
  <si>
    <t xml:space="preserve">Smuuli tee ja Paekaare tn ristmik, Peterburi tee poole </t>
  </si>
  <si>
    <t xml:space="preserve">Smuuli tee ja Paekaare tn ristmik, Peterburi teelt </t>
  </si>
  <si>
    <t xml:space="preserve">Smuuli teel, Laagna tee pöördel, Peterburi teelt </t>
  </si>
  <si>
    <t xml:space="preserve">Smuuli teel, Laagna tee pöördel, Peterburi tee suunas </t>
  </si>
  <si>
    <t>Smuuli tee 9 "Maxima XXL" vastas, eraldusribal, suund Piritale</t>
  </si>
  <si>
    <t>Smuuli tee 9 "Maxima XXL" vastas, eraldusribal, suund Peterburi teele</t>
  </si>
  <si>
    <t xml:space="preserve">Mustakivi tee ja Punase tn ristmik, LCentrum (eraldusribal)*, Peterburi teel tulles  </t>
  </si>
  <si>
    <t xml:space="preserve">Mustakivi tee ja Punase tn ristmik, LCentrum (eraldusribal)*, Peterburi teel poole  </t>
  </si>
  <si>
    <t>Mustakivi tee 13/ Lasnamäe "Centrum" ees, Peterburi tee poole.</t>
  </si>
  <si>
    <t>Mustakivi tee 13/ Lasnamäe"Centrum" ees, Peterburi teelt tulles.</t>
  </si>
  <si>
    <t>Mustakivi tee ja Tähesaju tee ristmik  *, Peterburi teele</t>
  </si>
  <si>
    <t>Mustakivi tee ja Tähesaju tee ristmik  *, Peterburi teelt</t>
  </si>
  <si>
    <t xml:space="preserve">Merivälja tee 71, kesklinna </t>
  </si>
  <si>
    <t xml:space="preserve">Merivälja tee 71, kesklinnast </t>
  </si>
  <si>
    <t>Pirita teel eraldusribal Pirita Selveri ees suund kesklinna</t>
  </si>
  <si>
    <t>Pirita teel eraldusribal Pirita Selveri ees suund kesklinnast</t>
  </si>
  <si>
    <t>Pirita tee, suund kesklinna, mere pool</t>
  </si>
  <si>
    <t>Pirita tee, suund kesklinnast, mere pool</t>
  </si>
  <si>
    <t xml:space="preserve">Pirita teel Topiga kohakuti suund kesklinna </t>
  </si>
  <si>
    <t xml:space="preserve">Pirita teel Topiga kohakuti suund kesklinnast </t>
  </si>
  <si>
    <t>Pirita tee/Saare tee ristis, eraldusribal, suund kesklinna</t>
  </si>
  <si>
    <t>Pirita tee/Saare tee ristis, eraldusribal, suund kesklinnast</t>
  </si>
  <si>
    <t>Narva mnt. Lauluväljaku tagumise sissepääsu juures. ristmik  *,kesklinnast</t>
  </si>
  <si>
    <t>Pirita tee ja Narva mnt ristmik*, kesklinnast</t>
  </si>
  <si>
    <t>Pirita tee ja Narva mnt ristmik*, kesklinna</t>
  </si>
  <si>
    <t>Tartu mnt 68 *, öösidega, (mõõt 12X11,7m), kokku 140,4m2</t>
  </si>
  <si>
    <t xml:space="preserve">Tartu mnt 42, (mõõt 12x10,90m), kokku 130,8m2         </t>
  </si>
  <si>
    <t>Rävala pst.3, Radisson Hotell, (mõõt 7,5X24,12m) kokku 180,90m2</t>
  </si>
  <si>
    <t>Narva mnt 19, (mõõt 6X9,9m)</t>
  </si>
  <si>
    <t>Narva mnt 31 -D (üleval),(mõõt 6X3m)</t>
  </si>
  <si>
    <t xml:space="preserve">Narva mnt 31-C (ülalt teine), (mõõt 6X3m) </t>
  </si>
  <si>
    <t>Narva mnt 31-B (ülalt kolmas), (mõõt 6X3m)</t>
  </si>
  <si>
    <t>Narva mnt 31-A (alt esimene), ( mõõt 6X3m)</t>
  </si>
  <si>
    <t>Narva mnt 31, ( mõõt 6X12,5m)</t>
  </si>
  <si>
    <t>Pärnu mnt./Liivalaia nurgal, IMAX, (mõõt 9,9x14,4m), kokku 142,56m2</t>
  </si>
  <si>
    <t>Liivalaia 29-1, (mõõt 6X3m)</t>
  </si>
  <si>
    <t>Liivalaia 29-2, (mõõt 6X3m)</t>
  </si>
  <si>
    <t>Liivalaia 29-3, (mõõt 6X3m)</t>
  </si>
  <si>
    <t>Liivalaia 29 seinal, (mõõt 6x9m), kokku 54m2</t>
  </si>
  <si>
    <t>Liivalaia 29 seinal, MÕÕT: 6x18,2m/109,2m2</t>
  </si>
  <si>
    <t>Liivalaia 3, MÕÕT: 6x9,9m</t>
  </si>
  <si>
    <t>Suur-Ameerika 35 Kristiine pool 4.2x2.1m (öösidega 30cm,tugevdatud serv)</t>
  </si>
  <si>
    <t>Kristiine viadukt,kesklinnast kristiinesse, valgustatud, (mõõt 8,89x2,09m)</t>
  </si>
  <si>
    <t>Kristiine viadukt,kesklinna, valgustamata (saab korda), (mõõt 12,85 x2,09m)</t>
  </si>
  <si>
    <t>Kristiine viadukt, väike, kesklinnast (mõõt 5,39X2,09m)</t>
  </si>
  <si>
    <t xml:space="preserve">Kristiine viadukt, väike, kesklinna, (mõõt 5,39X2,09m) </t>
  </si>
  <si>
    <t>Pärnu mnt. 135 "Kalevi" peatus/suund kesklinna /tunnelitega, (mõõt 6X2,9m)</t>
  </si>
  <si>
    <t>Pärnu mnt. 135 "Kalevi" peatus/suund linnast välja, (mõõt 6X2,9m)</t>
  </si>
  <si>
    <t>Pärnu mnt. 137 "Kalevi" peatus/suund kesklinna /tunnelitega, (mõõt 6X2,9m)</t>
  </si>
  <si>
    <t>Pärnu mnt. 137 "Kalevi" peatus/suund linnast välja, (mõõt 6X2,9m)</t>
  </si>
  <si>
    <t>Pärnu maantee 186-2</t>
  </si>
  <si>
    <t>Pärnu maantee 186-1</t>
  </si>
  <si>
    <t>Pärnu maantee 232/3</t>
  </si>
  <si>
    <t>Pärnu mnt.T9, viadukt</t>
  </si>
  <si>
    <t>Mustamäe tee 19</t>
  </si>
  <si>
    <t>Paldiski maantee 52</t>
  </si>
  <si>
    <t>Paldiski maantee 95</t>
  </si>
  <si>
    <t>Paldiski mnt 85</t>
  </si>
  <si>
    <t>Paldiski maantee 80</t>
  </si>
  <si>
    <t>Paldiski maantee 131</t>
  </si>
  <si>
    <t>Paldiski maantee 127</t>
  </si>
  <si>
    <t>Paldiski maantee 94a</t>
  </si>
  <si>
    <t>Paldiski maantee 96</t>
  </si>
  <si>
    <t>Paldiski maantee 96a</t>
  </si>
  <si>
    <t>Paldiski mnt. 140</t>
  </si>
  <si>
    <t>Paldiski maantee 100a</t>
  </si>
  <si>
    <t>Paldiski mnt 102</t>
  </si>
  <si>
    <t>Paldiski maantee T38</t>
  </si>
  <si>
    <t>Paldiski maantee 102</t>
  </si>
  <si>
    <t>Rannamõisatee 1a</t>
  </si>
  <si>
    <t>Haabersti ringi keskel</t>
  </si>
  <si>
    <t>Rannamõisatee 3</t>
  </si>
  <si>
    <t>Rannamõisatee 6</t>
  </si>
  <si>
    <t>Õismäe tee 150</t>
  </si>
  <si>
    <t>Õismäe tee 1a</t>
  </si>
  <si>
    <t>Paldiski mnt. 219b</t>
  </si>
  <si>
    <t>Õismäe tee 87</t>
  </si>
  <si>
    <t>Ehitajate tee 122</t>
  </si>
  <si>
    <t>Ehitajate tee 105</t>
  </si>
  <si>
    <t>Sõpruse puiestee 6</t>
  </si>
  <si>
    <t>Sõpruse puiestee 170</t>
  </si>
  <si>
    <t>Sõpruse puiestee 155</t>
  </si>
  <si>
    <t>Sõpruse puiestee Siili</t>
  </si>
  <si>
    <t>Sõpruse puiestee 201/203</t>
  </si>
  <si>
    <t>Sõpruse puiestee 201</t>
  </si>
  <si>
    <t>Tammsaare tee ja Sõpruse puiestee</t>
  </si>
  <si>
    <t>A. H. Tammsaare tee 57</t>
  </si>
  <si>
    <t>A. H. Tammsaare tee 51</t>
  </si>
  <si>
    <t>A.H. Tammsaare tee 60</t>
  </si>
  <si>
    <t>A. H. Tammsaare tee 109</t>
  </si>
  <si>
    <t>A. H. Tammsaare tee 111</t>
  </si>
  <si>
    <t>A. H. Tammsaare tee 81a</t>
  </si>
  <si>
    <t>Kadaka tee 56a</t>
  </si>
  <si>
    <t>Pärnu maantee 453h</t>
  </si>
  <si>
    <t>Pärnu maantee 536b</t>
  </si>
  <si>
    <t>Ehitajate tee 5</t>
  </si>
  <si>
    <t>Männiku tee 28</t>
  </si>
  <si>
    <t>Tehnika 71</t>
  </si>
  <si>
    <t>Narva mnt 23</t>
  </si>
  <si>
    <t>Ahtri 6</t>
  </si>
  <si>
    <t>Suur-Ameerika 35</t>
  </si>
  <si>
    <t>Tartu maantee 75</t>
  </si>
  <si>
    <t>Tartu maantee 85</t>
  </si>
  <si>
    <t>Tartu maantee 87</t>
  </si>
  <si>
    <t>Rapla 22</t>
  </si>
  <si>
    <t>Tartu maantee 119</t>
  </si>
  <si>
    <t xml:space="preserve">Tartu maantee 97a </t>
  </si>
  <si>
    <t>Tartu maantee T2</t>
  </si>
  <si>
    <t>Tallinn–Tartu–Võru–Luhamaa</t>
  </si>
  <si>
    <t>Järvevana tee 2</t>
  </si>
  <si>
    <t>Veerenni 65</t>
  </si>
  <si>
    <t>Järvevana tee 3b</t>
  </si>
  <si>
    <t>Järvevana tee 7b</t>
  </si>
  <si>
    <t>Veerenni 58</t>
  </si>
  <si>
    <t>Tartu maantee 86b</t>
  </si>
  <si>
    <t>Järvevana tee-viadukt</t>
  </si>
  <si>
    <t>Peterburi tee 4</t>
  </si>
  <si>
    <t>Peterburi tee - Kriidi rist</t>
  </si>
  <si>
    <t>Peterburi tee 67b - 2</t>
  </si>
  <si>
    <t>Peterburi tee 67b - 1</t>
  </si>
  <si>
    <t>Peterburi tee 58</t>
  </si>
  <si>
    <t>Peterburi tee 92H</t>
  </si>
  <si>
    <t>Peterburi tee 92e</t>
  </si>
  <si>
    <t>Tallinn - Narva mnt.</t>
  </si>
  <si>
    <t>Peterburi tee 99</t>
  </si>
  <si>
    <t xml:space="preserve">Peterburi tee, enne Mustakivi </t>
  </si>
  <si>
    <t>Peterburi tee 3</t>
  </si>
  <si>
    <t>Peterburi tee 61</t>
  </si>
  <si>
    <t>Peterburi tee 67a</t>
  </si>
  <si>
    <t>Laagna tee algus, post number 1</t>
  </si>
  <si>
    <t>Laagna tee-Pallasti</t>
  </si>
  <si>
    <t>Laagna tee - Võidujooksu</t>
  </si>
  <si>
    <t>Laagna tee - J. Smuuli tee</t>
  </si>
  <si>
    <t>Laagna tee, Smuuli</t>
  </si>
  <si>
    <t>Laagna tee -Varraku </t>
  </si>
  <si>
    <t>Laagna tee- Mustakivi tee</t>
  </si>
  <si>
    <t>Laagna tee ja Mahtra tänav</t>
  </si>
  <si>
    <t>Laagna tee - Ümera</t>
  </si>
  <si>
    <t>Punane ja Smuuli</t>
  </si>
  <si>
    <t>Punane 43</t>
  </si>
  <si>
    <t>Paekaare Tallinn</t>
  </si>
  <si>
    <t>J. Smuuli tee 9</t>
  </si>
  <si>
    <t>Mustakivi tee Punane ristmik</t>
  </si>
  <si>
    <t>Mustakivi tee 13</t>
  </si>
  <si>
    <t>Mustakivi tee Tähesaju tee</t>
  </si>
  <si>
    <t>Merivälja tee 71</t>
  </si>
  <si>
    <t>Pirita tee-2</t>
  </si>
  <si>
    <t>Pirita tee Regati rist</t>
  </si>
  <si>
    <t>Pirita tee 102</t>
  </si>
  <si>
    <t>Narva maantee 138</t>
  </si>
  <si>
    <t>Pirita tee Narva mnt rist</t>
  </si>
  <si>
    <t>Tartu maantee 68</t>
  </si>
  <si>
    <t>Tartu maantee 42</t>
  </si>
  <si>
    <t>Rävala puiestee 3</t>
  </si>
  <si>
    <t>Narva maantee 19</t>
  </si>
  <si>
    <t>Narva maantee 31</t>
  </si>
  <si>
    <t>Gonsiori 5</t>
  </si>
  <si>
    <t>Liivalaia 3</t>
  </si>
  <si>
    <t>Liivalaia 25</t>
  </si>
  <si>
    <t>Liivalaia 29</t>
  </si>
  <si>
    <t>Kristiine viadukt</t>
  </si>
  <si>
    <t>Pärnu maantee 135</t>
  </si>
  <si>
    <t>Sõpruse 179/Tammsaare tee ristmik, suund kesklinna</t>
  </si>
  <si>
    <t>Sõpruse 179/Tammsaare tee ristmik, suund kesklinnast</t>
  </si>
  <si>
    <t>Sõpruse 213, suund kesklinna</t>
  </si>
  <si>
    <t>Sõpruse 213, suund kesklinnast</t>
  </si>
  <si>
    <t>Sõpruse 206, suund kesklinnast</t>
  </si>
  <si>
    <t xml:space="preserve">Sõpruse 206, suund kesklinna </t>
  </si>
  <si>
    <t>Mustamäe tee 86</t>
  </si>
  <si>
    <t>Tammsaare tee 144c, suund Rocca al Mare poole</t>
  </si>
  <si>
    <t>Tammsaare tee 144c, suund Järvevana tee poole</t>
  </si>
  <si>
    <t xml:space="preserve">Gonsiori 5, (mõõt 3,95X9,95m), </t>
  </si>
  <si>
    <t xml:space="preserve">Liivalaia 25, suunaga Tartu mnt.poole, (mõõt 2,5x7m)  </t>
  </si>
  <si>
    <t>Sõpruse pst.202</t>
  </si>
  <si>
    <t>Sõpruse pst.179</t>
  </si>
  <si>
    <t>Sõpruse 213</t>
  </si>
  <si>
    <t>A.H. Tammsaare tee 144</t>
  </si>
  <si>
    <t>https://www.megameediagrupp.ee/valimeedia/reklaamtahvlid-6x3/?mapid=60704a66c83f2&amp;side=1</t>
  </si>
  <si>
    <t>Võru ja Ringtee ristis, suund ringteele. TARTU</t>
  </si>
  <si>
    <t xml:space="preserve">Võru ja Ringtee ristis, suund kesklinna. TARTU  </t>
  </si>
  <si>
    <t xml:space="preserve">Ringtee 39, suund kesklinna. TARTU </t>
  </si>
  <si>
    <t xml:space="preserve">Ringtee 39, suund Lõunakeskusesse. TARTU </t>
  </si>
  <si>
    <t xml:space="preserve">Jaama tn. 173 "Kivilinna Konsum" ees, suund kesklinnast. TARTU </t>
  </si>
  <si>
    <t>Jaama tn.173 "Kivilinna Konsum" ees, suund kesklinna. TARTU</t>
  </si>
  <si>
    <t xml:space="preserve">Kalda tee 5 parkla suund Anne Selver, kesklinna. TARTU  </t>
  </si>
  <si>
    <t>Kalda tee 5 parkla suund Ehituse ABC. TARTU</t>
  </si>
  <si>
    <t xml:space="preserve">Turu-Saekoja( Vase 5 ees), suund kesklinnast. TARTU  </t>
  </si>
  <si>
    <t xml:space="preserve">Turu-Saekoja( Vase 5 ees), suund kesklinna. TARTU  </t>
  </si>
  <si>
    <t>Aardla-Roopa  (suund "Lõunakeskusesse"), TARTU.</t>
  </si>
  <si>
    <t xml:space="preserve">Aardla-Roopa, suund kesklinna. TARTU  </t>
  </si>
  <si>
    <t>Ringtee 75B, Lõunakeskus 1 Lõunakeskuse poolt (öösid/30cm/tugevdatud). TARTU.</t>
  </si>
  <si>
    <t>Tartu- Võru tn.171 Tartu pool (valgustamata),  öösitatud, suund Tartust.</t>
  </si>
  <si>
    <t>Tartu-Võru tn.171 Võru pool (valgustamata), öösitatud,suund Võrust.</t>
  </si>
  <si>
    <t>Pärnu</t>
  </si>
  <si>
    <t>Papiniidu 4- Kaubamajaka/Riia mnt. poolt (öösidega 30cm, tugevdatud ääred). PÄRNU</t>
  </si>
  <si>
    <t>Papiniidu 4,-Kaubamajas, Silla poolt tulles.PÄRNU</t>
  </si>
  <si>
    <t>Narva</t>
  </si>
  <si>
    <t>Tallinna mnt. ja Rahu tn. Ristmik-suund kesklinna. NARVA</t>
  </si>
  <si>
    <t>Tallinna mnt. ja Rahu tn. Ristmik-suund kesklinnast. NARVA</t>
  </si>
  <si>
    <t>Tallinn - Tartu- Võru mnt.</t>
  </si>
  <si>
    <t>Tallinn - Tartu mnt. 110 km.</t>
  </si>
  <si>
    <t>Tallinn - Tartu mnt. 162 km.</t>
  </si>
  <si>
    <t>Kükita 1 Tallinna pool (Tallinn - Tartu 80 km)</t>
  </si>
  <si>
    <t>Kükita 1 Tartu pool</t>
  </si>
  <si>
    <t>Mäeküla Tallinna pool (Tallinn - Tartu 92 km)</t>
  </si>
  <si>
    <t>Mäeküla Tartu pool</t>
  </si>
  <si>
    <t>Koigi Tallinna pool (Tallinn - Tartu 98 km.)</t>
  </si>
  <si>
    <t>Koigi Tartu pool</t>
  </si>
  <si>
    <t>Põltsamaa Tallinna pool (Tallinn - Tartu 120 km.)</t>
  </si>
  <si>
    <t>Põltsamaa Tartu pool</t>
  </si>
  <si>
    <t>Tähtvere Tallinna pool (Tallinn - Tartu 177 km.)</t>
  </si>
  <si>
    <t>Tähtvere Tartu poolt</t>
  </si>
  <si>
    <t>Tähtvere 2 Tallinna pool (Tallinn - Tartu 177  km)</t>
  </si>
  <si>
    <t>Tähtvere 2 Tartu pool</t>
  </si>
  <si>
    <t>Tartu - Võru mnt.1 /  Ülenurme - Tartu poolt</t>
  </si>
  <si>
    <t>Tartu - Võru mnt.1 / Ülenurme - Võru poolt</t>
  </si>
  <si>
    <t>Tartu-Narva mnt. 5 km. Kõrveküla Tartu poolt</t>
  </si>
  <si>
    <t>Tartu-Narva mnt Kõrveküla Narva poolt</t>
  </si>
  <si>
    <t xml:space="preserve">Tallinn- Pärnu mnt. </t>
  </si>
  <si>
    <t>Tln-Pärnu mnt.1 / 4 km, Tallinna pool</t>
  </si>
  <si>
    <t>Tln-Pärnu mnt 1 Pärnu pool</t>
  </si>
  <si>
    <t>Tallinn - Pärnu 20 km.</t>
  </si>
  <si>
    <t>Tallinn -Narva mnt.</t>
  </si>
  <si>
    <t>Tallinn - Narva mnt. 13 km.</t>
  </si>
  <si>
    <t>Tallinn-Haapsalu mnt.</t>
  </si>
  <si>
    <t>Tallinn - Haapsalu 37,5 km</t>
  </si>
  <si>
    <t xml:space="preserve">Linnasambad </t>
  </si>
  <si>
    <t>Tartu mnt ja Pronksi tn nurk (If Kindlustuse ees) valgustatud</t>
  </si>
  <si>
    <t>Narva mnt Raua ja Vilmsi nurk valgustatud</t>
  </si>
  <si>
    <t>Narva mnt ja Petrooleumi nurgal</t>
  </si>
  <si>
    <t>Liivalaia ja Veerenni nurgal</t>
  </si>
  <si>
    <t>Liivalaia 24 ees (Kohtumaja) 11,7 m2 valgustatud</t>
  </si>
  <si>
    <t>Liivalaia 32 (Lastgepolikliiniku ees)</t>
  </si>
  <si>
    <t>Narva mnt 19 ees (Kodutarve ees) valgustatud</t>
  </si>
  <si>
    <t>Tartu mnt Odra ristmik valgustatud</t>
  </si>
  <si>
    <t>Pärnu mnt ja Suur - Ameerika nurgal valgustatud</t>
  </si>
  <si>
    <t>Narva mnt ja Weizenbergi nurgal valgustatud</t>
  </si>
  <si>
    <t>Pärnu mnt ja Väike - Ameerika nurgal</t>
  </si>
  <si>
    <t>Liivalaia 5 ja 7 nurgal jalakäijate tunneli juures valgustatud</t>
  </si>
  <si>
    <t>Narva mnt 7c ees</t>
  </si>
  <si>
    <t>Odra tn Bussijaama juures valgustatud</t>
  </si>
  <si>
    <t>Juhkentali Püssirohu bussipeatus valgustatud</t>
  </si>
  <si>
    <t>Tartu mnt ja Kivisilla tn nurgal (DnB Nord Panga juures)</t>
  </si>
  <si>
    <t>Narva mnt Kodutarve ees</t>
  </si>
  <si>
    <t>Pärnu mnt Kino Kosmos ees valgustatud</t>
  </si>
  <si>
    <t>Pärnu mnt 146 ees valgustatud</t>
  </si>
  <si>
    <t>Pärnu mnt 113 Magdaleena Haigla vastas</t>
  </si>
  <si>
    <t>Võru 167</t>
  </si>
  <si>
    <t>Ringtee 39</t>
  </si>
  <si>
    <t xml:space="preserve">Jaama tn. 173 </t>
  </si>
  <si>
    <t>Kalda tee 5</t>
  </si>
  <si>
    <t>Vase 5</t>
  </si>
  <si>
    <t>Aardla 31</t>
  </si>
  <si>
    <t>Ringtee 75B</t>
  </si>
  <si>
    <t xml:space="preserve">Tartu-Võru tn 171 </t>
  </si>
  <si>
    <t>Papiniidu 4</t>
  </si>
  <si>
    <t>Tallinna maantee 58-71</t>
  </si>
  <si>
    <t>Vabriku tee</t>
  </si>
  <si>
    <t>Oone-Vene tee</t>
  </si>
  <si>
    <t>Tarbija</t>
  </si>
  <si>
    <t>Nurmsi</t>
  </si>
  <si>
    <t>Koigi</t>
  </si>
  <si>
    <t>Mällikvere</t>
  </si>
  <si>
    <t>Rahinge</t>
  </si>
  <si>
    <t>Soinaste</t>
  </si>
  <si>
    <t>Tila</t>
  </si>
  <si>
    <t>Jälgimäe</t>
  </si>
  <si>
    <t>Rahula</t>
  </si>
  <si>
    <t>Liivamäe</t>
  </si>
  <si>
    <t>Roisti</t>
  </si>
  <si>
    <t>Risti</t>
  </si>
  <si>
    <t>Pronksi 19</t>
  </si>
  <si>
    <t>J. Vilmsi</t>
  </si>
  <si>
    <t>Narva mnt. 31</t>
  </si>
  <si>
    <t>Liivalaia 14</t>
  </si>
  <si>
    <t>Liivalaia 24</t>
  </si>
  <si>
    <t>Liivalaia 30b</t>
  </si>
  <si>
    <t>Narva mnt 21</t>
  </si>
  <si>
    <t>Juhkentali</t>
  </si>
  <si>
    <t>Pärnu mnt 50</t>
  </si>
  <si>
    <t>L. Koidula 2</t>
  </si>
  <si>
    <t>Pärnu mnt 60</t>
  </si>
  <si>
    <t>Liivalaia 7</t>
  </si>
  <si>
    <t>Narva mnt 7</t>
  </si>
  <si>
    <t>Odra tn</t>
  </si>
  <si>
    <t>Liivamäe 2</t>
  </si>
  <si>
    <t>Tartu maantee 10</t>
  </si>
  <si>
    <t>Narva mnt. 23</t>
  </si>
  <si>
    <t>Pärnu mnt. 45</t>
  </si>
  <si>
    <t>Pärnu mnt 144</t>
  </si>
  <si>
    <t>Pärnu mnt 107</t>
  </si>
  <si>
    <t>https://www.megameediagrupp.ee/valimeedia/reklaamtahvlid-6x3?mapid=5fd72a0f671ae&amp;side=1</t>
  </si>
  <si>
    <t>https://www.megameediagrupp.ee/valimeedia/reklaamtahvlid-6x3?mapid=5fd72a0f671ae&amp;side=2</t>
  </si>
  <si>
    <t>https://www.megameediagrupp.ee/valimeedia/reklaamtahvlid-6x3?mapid=5fd72a0f6a701&amp;side=1</t>
  </si>
  <si>
    <t>https://www.megameediagrupp.ee/valimeedia/reklaamtahvlid-6x3?mapid=5fd72a0f6a701&amp;side=2</t>
  </si>
  <si>
    <t>https://www.megameediagrupp.ee/valimeedia/reklaamtahvlid-6x3?mapid=5fd72a0f6e11f&amp;side=1</t>
  </si>
  <si>
    <t>https://www.megameediagrupp.ee/valimeedia/reklaamtahvlid-6x3?mapid=5fd72a0f6e11f&amp;side=2</t>
  </si>
  <si>
    <t>https://www.megameediagrupp.ee/valimeedia/reklaamtahvlid-6x3?mapid=5fd72a0f7143d&amp;side=1</t>
  </si>
  <si>
    <t>https://www.megameediagrupp.ee/valimeedia/reklaamtahvlid-6x3?mapid=5fd72a0f7143d&amp;side=2</t>
  </si>
  <si>
    <t>https://www.megameediagrupp.ee/valimeedia/reklaamtahvlid-6x3?mapid=5fd72a0f74999&amp;side=1</t>
  </si>
  <si>
    <t>https://www.megameediagrupp.ee/valimeedia/reklaamtahvlid-6x3?mapid=5fd72a0f74999&amp;side=2</t>
  </si>
  <si>
    <t>https://www.megameediagrupp.ee/valimeedia/reklaamtahvlid-6x3?mapid=5fd72a0f78188&amp;side=1</t>
  </si>
  <si>
    <t>https://www.megameediagrupp.ee/valimeedia/reklaamtahvlid-6x3?mapid=5fd72a0f78188&amp;side=2</t>
  </si>
  <si>
    <t>https://www.megameediagrupp.ee/valimeedia/reklaamtahvlid-6x3?mapid=5fd72a0f7b76d&amp;side=1</t>
  </si>
  <si>
    <t>https://www.megameediagrupp.ee/valimeedia/reklaamtahvlid-6x3?mapid=5fd72a0f7ed93&amp;side=1</t>
  </si>
  <si>
    <t>https://www.megameediagrupp.ee/valimeedia/reklaamtahvlid-6x3?mapid=5fd72a0f7ed93&amp;side=2</t>
  </si>
  <si>
    <t>https://www.megameediagrupp.ee/valimeedia/reklaamtahvlid-6x3?mapid=5fd72a0f824f5&amp;side=1</t>
  </si>
  <si>
    <t>https://www.megameediagrupp.ee/valimeedia/reklaamtahvlid-6x3?mapid=5fd72a0f824f5&amp;side=2</t>
  </si>
  <si>
    <t>https://www.megameediagrupp.ee/valimeedia/reklaamtahvlid-6x3?mapid=5fd72a0f85aaf&amp;side=1</t>
  </si>
  <si>
    <t>https://www.megameediagrupp.ee/valimeedia/reklaamtahvlid-6x3?mapid=5fd72a0f85aaf&amp;side=2</t>
  </si>
  <si>
    <t>https://www.megameediagrupp.ee/valimeedia/maanteetahvlid?mapid=5fd4d906afe8d&amp;side=1</t>
  </si>
  <si>
    <t>https://www.megameediagrupp.ee/valimeedia/maanteetahvlid?mapid=5fd4d906afe8d&amp;side=2</t>
  </si>
  <si>
    <t>https://www.megameediagrupp.ee/valimeedia/maanteetahvlid?mapid=5fd4d906b0f95&amp;side=1</t>
  </si>
  <si>
    <t>https://www.megameediagrupp.ee/valimeedia/maanteetahvlid?mapid=5fd4d906b0f95&amp;side=2</t>
  </si>
  <si>
    <t>https://www.megameediagrupp.ee/valimeedia/maanteetahvlid?mapid=5fd4d906b3158&amp;side=1</t>
  </si>
  <si>
    <t>https://www.megameediagrupp.ee/valimeedia/maanteetahvlid?mapid=5fd4d906b3158&amp;side=2</t>
  </si>
  <si>
    <t>https://www.megameediagrupp.ee/valimeedia/maanteetahvlid?mapid=5fd4d906b4130&amp;side=1</t>
  </si>
  <si>
    <t>https://www.megameediagrupp.ee/valimeedia/maanteetahvlid?mapid=5fd4d906b4130&amp;side=2</t>
  </si>
  <si>
    <t>https://www.megameediagrupp.ee/valimeedia/maanteetahvlid?mapid=5fd4d906b528a&amp;side=1</t>
  </si>
  <si>
    <t>https://www.megameediagrupp.ee/valimeedia/maanteetahvlid?mapid=5fd4d906b528a&amp;side=2</t>
  </si>
  <si>
    <t>https://www.megameediagrupp.ee/valimeedia/maanteetahvlid?mapid=5fd4d906b6370&amp;side=1</t>
  </si>
  <si>
    <t>https://www.megameediagrupp.ee/valimeedia/maanteetahvlid?mapid=5fd4d906b6370&amp;side=2</t>
  </si>
  <si>
    <t>https://www.megameediagrupp.ee/valimeedia/maanteetahvlid?mapid=5fd4d906b753f&amp;side=1</t>
  </si>
  <si>
    <t>https://www.megameediagrupp.ee/valimeedia/maanteetahvlid?mapid=5fd4d906b753f&amp;side=2</t>
  </si>
  <si>
    <t>https://www.megameediagrupp.ee/valimeedia/maanteetahvlid?mapid=5fd4d906b8649&amp;side=1</t>
  </si>
  <si>
    <t>https://www.megameediagrupp.ee/valimeedia/maanteetahvlid?mapid=5fd4d906b8649&amp;side=2</t>
  </si>
  <si>
    <t>https://www.megameediagrupp.ee/valimeedia/maanteetahvlid?mapid=5fd4d906b98f7&amp;side=1</t>
  </si>
  <si>
    <t>https://www.megameediagrupp.ee/valimeedia/maanteetahvlid?mapid=5fd4d906b98f7&amp;side=2</t>
  </si>
  <si>
    <t>https://www.megameediagrupp.ee/valimeedia/maanteetahvlid?mapid=5fd4d906ba9b7&amp;side=1</t>
  </si>
  <si>
    <t>https://www.megameediagrupp.ee/valimeedia/maanteetahvlid?mapid=5fd4d906ba9b7&amp;side=2</t>
  </si>
  <si>
    <t>https://www.megameediagrupp.ee/valimeedia/maanteetahvlid?mapid=5fd4d906bbab2&amp;side=1</t>
  </si>
  <si>
    <t>https://www.megameediagrupp.ee/valimeedia/maanteetahvlid?mapid=5fd4d906bbab2&amp;side=2</t>
  </si>
  <si>
    <t>https://www.megameediagrupp.ee/valimeedia/maanteetahvlid?mapid=5fd4d906bdd01&amp;side=1</t>
  </si>
  <si>
    <t>https://www.megameediagrupp.ee/valimeedia/maanteetahvlid?mapid=5fd4d906bdd01&amp;side=2</t>
  </si>
  <si>
    <t>https://www.megameediagrupp.ee/valimeedia/maanteetahvlid?mapid=5fd4d906c130c&amp;side=1</t>
  </si>
  <si>
    <t>https://www.megameediagrupp.ee/valimeedia/maanteetahvlid?mapid=5fd4d906c130c&amp;side=2</t>
  </si>
  <si>
    <t>https://www.megameediagrupp.ee/valimeedia/maanteetahvlid?mapid=5fd4d906c4969&amp;side=1</t>
  </si>
  <si>
    <t>https://www.megameediagrupp.ee/valimeedia/maanteetahvlid?mapid=5fd4d906c4969&amp;side=2</t>
  </si>
  <si>
    <t>https://www.megameediagrupp.ee/valimeedia/linnasambad-1-3x3x3?mapid=5fd7291ea21ce&amp;side=1</t>
  </si>
  <si>
    <t>https://www.megameediagrupp.ee/valimeedia/linnasambad-1-3x3x3?mapid=5fd7291ea342b&amp;side=1</t>
  </si>
  <si>
    <t>https://www.megameediagrupp.ee/valimeedia/linnasambad-1-3x3x3?mapid=5fd7291ea46f0&amp;side=1</t>
  </si>
  <si>
    <t>https://www.megameediagrupp.ee/valimeedia/linnasambad-1-3x3x3?mapid=5fd7291ea56a8&amp;side=1</t>
  </si>
  <si>
    <t>https://www.megameediagrupp.ee/valimeedia/linnasambad-1-3x3x3?mapid=5fd7291ea68b3&amp;side=1</t>
  </si>
  <si>
    <t>https://www.megameediagrupp.ee/valimeedia/linnasambad-1-3x3x3?mapid=5fd7291ea798b&amp;side=1</t>
  </si>
  <si>
    <t>https://www.megameediagrupp.ee/valimeedia/linnasambad-1-3x3x3?mapid=5fd7291ea897e&amp;side=1</t>
  </si>
  <si>
    <t>https://www.megameediagrupp.ee/valimeedia/linnasambad-1-3x3x3?mapid=5fd7291ea9a16&amp;side=1</t>
  </si>
  <si>
    <t>https://www.megameediagrupp.ee/valimeedia/linnasambad-1-3x3x3?mapid=5fd7291eaaadf&amp;side=1</t>
  </si>
  <si>
    <t>https://www.megameediagrupp.ee/valimeedia/linnasambad-1-3x3x3?mapid=5fd7291eabb41&amp;side=1</t>
  </si>
  <si>
    <t>https://www.megameediagrupp.ee/valimeedia/linnasambad-1-3x3x3?mapid=5fd7291eacb20&amp;side=1</t>
  </si>
  <si>
    <t>https://www.megameediagrupp.ee/valimeedia/linnasambad-1-3x3x3?mapid=5fd7291eadb41&amp;side=1</t>
  </si>
  <si>
    <t>https://www.megameediagrupp.ee/valimeedia/linnasambad-1-3x3x3?mapid=5fd7291eaeea2&amp;side=1</t>
  </si>
  <si>
    <t>https://www.megameediagrupp.ee/valimeedia/linnasambad-1-3x3x3?mapid=5fd7291eb00bc&amp;side=1</t>
  </si>
  <si>
    <t>https://www.megameediagrupp.ee/valimeedia/linnasambad-1-3x3x3?mapid=5fd7291eb1450&amp;side=1</t>
  </si>
  <si>
    <t>https://www.megameediagrupp.ee/valimeedia/linnasambad-1-3x3x3?mapid=5fd7291eb25bf&amp;side=1</t>
  </si>
  <si>
    <t>https://www.megameediagrupp.ee/valimeedia/linnasambad-1-3x3x3?mapid=5fd7291eb3761&amp;side=1</t>
  </si>
  <si>
    <t>https://www.megameediagrupp.ee/valimeedia/linnasambad-1-3x3x3?mapid=5fd7291eb477e&amp;side=1</t>
  </si>
  <si>
    <t>https://www.megameediagrupp.ee/valimeedia/linnasambad-1-3x3x3?mapid=5fd7291eb579a&amp;side=1</t>
  </si>
  <si>
    <t>https://www.megameediagrupp.ee/valimeedia/linnasambad-1-3x3x3?mapid=5fd7291eb686e&amp;side=1</t>
  </si>
  <si>
    <t>Tartu</t>
  </si>
  <si>
    <t xml:space="preserve">Tartu   </t>
  </si>
  <si>
    <t>Sõpruse pst. 206</t>
  </si>
  <si>
    <t>Ei sisalda tootmishinda</t>
  </si>
  <si>
    <t>BB ja Wall hind - baashind + reklaamimaks + paigaldus.</t>
  </si>
  <si>
    <t>Hetkel 2022 aasta commitment 40 000 põhjal</t>
  </si>
  <si>
    <t>Digiekraanid</t>
  </si>
  <si>
    <t>Foorum LED (audio)</t>
  </si>
  <si>
    <t>Järve LED (audio)</t>
  </si>
  <si>
    <t>Lasnamäe Centrum LED</t>
  </si>
  <si>
    <t>Mustamäe Keskus LED (audio)</t>
  </si>
  <si>
    <t>Nautica LED</t>
  </si>
  <si>
    <t>Peterburi tee 2f LED</t>
  </si>
  <si>
    <t>Sikupilli LED (audio)</t>
  </si>
  <si>
    <t>Rocca Al Mare LED</t>
  </si>
  <si>
    <t>Tammsaare LED</t>
  </si>
  <si>
    <t>Tartu mnt. 64 LED</t>
  </si>
  <si>
    <t>Tartu mnt. 119 LED</t>
  </si>
  <si>
    <t>Ülemiste City LED</t>
  </si>
  <si>
    <t>Ussimäe LED</t>
  </si>
  <si>
    <t>Ülemiste Apollo LED</t>
  </si>
  <si>
    <t>Regati pst 1 LED (Hawaii)</t>
  </si>
  <si>
    <t>Ülemiste Neste LED</t>
  </si>
  <si>
    <t>Pirita tee Messikeskuse LED</t>
  </si>
  <si>
    <t>Pärnu mnt. Vaheriba LED</t>
  </si>
  <si>
    <t>Paldiski mnt. Loomaaia LED</t>
  </si>
  <si>
    <t>Jakobi LED</t>
  </si>
  <si>
    <t>Kadaka LED</t>
  </si>
  <si>
    <t>Kristiine Parkla LED</t>
  </si>
  <si>
    <t>Kristiine Keskuse peaukse LED</t>
  </si>
  <si>
    <t>Maakri LED</t>
  </si>
  <si>
    <t>Mustakivi LED</t>
  </si>
  <si>
    <t>Narva mnt 4. LED</t>
  </si>
  <si>
    <t>Narva mnt. 24 LED</t>
  </si>
  <si>
    <t xml:space="preserve">Pärnu mnt. 135 LED (Veloplus) </t>
  </si>
  <si>
    <t>Radisson Blu Sky LED</t>
  </si>
  <si>
    <t>Rävala LED</t>
  </si>
  <si>
    <t>Sõpruse LED</t>
  </si>
  <si>
    <t>Pärnu mnt. 139f LED (Isku)</t>
  </si>
  <si>
    <t>Reidi tee LED</t>
  </si>
  <si>
    <t>Viimsi Keskus LED</t>
  </si>
  <si>
    <t>Villardi LED</t>
  </si>
  <si>
    <t>Ülemiste Pylon</t>
  </si>
  <si>
    <t>Narva maantee 5</t>
  </si>
  <si>
    <t> Pärnu maantee 238</t>
  </si>
  <si>
    <t>Mustakivi 13</t>
  </si>
  <si>
    <t>A. H. Tammsaare tee 104a</t>
  </si>
  <si>
    <t>Ahtri 9</t>
  </si>
  <si>
    <t>Peterburi tee 2f</t>
  </si>
  <si>
    <t>Sõpruse puiestee 179</t>
  </si>
  <si>
    <t>Tartu maantee 64</t>
  </si>
  <si>
    <t>Valukoja 4c</t>
  </si>
  <si>
    <t>Ussimäe tee 12/1</t>
  </si>
  <si>
    <t>Suur-Sõjamäe 4</t>
  </si>
  <si>
    <t>Regati puiestee 1</t>
  </si>
  <si>
    <t>Pirita tee 28b</t>
  </si>
  <si>
    <t>Pärnu mnt.186 eraldusribal / Virve 8 (186-2)</t>
  </si>
  <si>
    <t>Paldiski maantee</t>
  </si>
  <si>
    <t>Jakobi 28</t>
  </si>
  <si>
    <t>Kadaka tee 2</t>
  </si>
  <si>
    <t>Enda 45</t>
  </si>
  <si>
    <t>Maakri 19</t>
  </si>
  <si>
    <t>Linnamäe tee 3</t>
  </si>
  <si>
    <t>Narva maantee 4</t>
  </si>
  <si>
    <t>Narva maantee 24</t>
  </si>
  <si>
    <t>Pärnu mnt. 135</t>
  </si>
  <si>
    <t>Rävala puiestee 2</t>
  </si>
  <si>
    <t>Sõpruse pst. 202</t>
  </si>
  <si>
    <t>Pärnu  maantee 139f</t>
  </si>
  <si>
    <t>Sõpruse tee 15</t>
  </si>
  <si>
    <t>Villardi 22</t>
  </si>
  <si>
    <t>https://www.megameediagrupp.ee/digiekraanid/valiekraanid?mapid=5fd72aaddbb3a&amp;side=1</t>
  </si>
  <si>
    <t>https://www.megameediagrupp.ee/digiekraanid/valiekraanid?mapid=5fd72aaddd54d&amp;side=1</t>
  </si>
  <si>
    <t>https://www.megameediagrupp.ee/digiekraanid/valiekraanid?mapid=5fd72aaddec2f&amp;side=1</t>
  </si>
  <si>
    <t>https://www.megameediagrupp.ee/digiekraanid/valiekraanid?mapid=5fd72aade02e6&amp;side=1</t>
  </si>
  <si>
    <t>https://www.megameediagrupp.ee/digiekraanid/valiekraanid?mapid=5fd72aae14176&amp;side=1</t>
  </si>
  <si>
    <t>https://www.megameediagrupp.ee/digiekraanid/valiekraanid?mapid=5fd72aade1ddf&amp;side=1</t>
  </si>
  <si>
    <t>https://www.megameediagrupp.ee/digiekraanid/valiekraanid?mapid=5fd72aade3547&amp;side=1</t>
  </si>
  <si>
    <t>https://www.megameediagrupp.ee/digiekraanid/valiekraanid?mapid=5fd72aae1270c&amp;side=1</t>
  </si>
  <si>
    <t>https://www.megameediagrupp.ee/digiekraanid/valiekraanid?mapid=5fd72aade4cea&amp;side=1</t>
  </si>
  <si>
    <t>https://www.megameediagrupp.ee/digiekraanid/valiekraanid?mapid=5fd72aade6415&amp;side=1</t>
  </si>
  <si>
    <t>https://www.megameediagrupp.ee/digiekraanid/valiekraanid?mapid=5fd72aade7c86&amp;side=1</t>
  </si>
  <si>
    <t>https://www.megameediagrupp.ee/digiekraanid/valiekraanid?mapid=5fd72aade93fe&amp;side=1</t>
  </si>
  <si>
    <t>https://www.megameediagrupp.ee/digiekraanid/valiekraanid?mapid=5fd72aadeadbc&amp;side=1</t>
  </si>
  <si>
    <t>https://www.megameediagrupp.ee/digiekraanid/valiekraanid?mapid=5ff6cff5c478f&amp;side=1</t>
  </si>
  <si>
    <t>https://www.megameediagrupp.ee/digiekraanid/valiekraanid?mapid=5fd72aadec4a0&amp;side=1</t>
  </si>
  <si>
    <t>https://www.megameediagrupp.ee/digiekraanid/valiekraanid?mapid=5fd72aadedca6&amp;side=1</t>
  </si>
  <si>
    <t>https://www.megameediagrupp.ee/digiekraanid/valiekraanid?mapid=5fd72aadef35a&amp;side=1</t>
  </si>
  <si>
    <t>https://www.megameediagrupp.ee/digiekraanid/valiekraanid?mapid=5fd72aadf09cd&amp;side=1</t>
  </si>
  <si>
    <t>https://www.megameediagrupp.ee/digiekraanid/valiekraanid?mapid=6023c09fb9f4c&amp;side=1</t>
  </si>
  <si>
    <t>https://www.megameediagrupp.ee/digiekraanid/valiekraanid?mapid=5fd72aadf2093&amp;side=1</t>
  </si>
  <si>
    <t>https://www.megameediagrupp.ee/digiekraanid/valiekraanid?mapid=5fd72aadf3784&amp;side=1</t>
  </si>
  <si>
    <t>https://www.megameediagrupp.ee/digiekraanid/valiekraanid?mapid=5ff6cff5beb96&amp;side=1</t>
  </si>
  <si>
    <t>https://www.megameediagrupp.ee/digiekraanid/valiekraanid?mapid=5ff6cff5c092d&amp;side=1</t>
  </si>
  <si>
    <t>https://www.megameediagrupp.ee/digiekraanid/valiekraanid?mapid=5fd72aae00c01&amp;side=1</t>
  </si>
  <si>
    <t>https://www.megameediagrupp.ee/digiekraanid/valiekraanid?mapid=5fd72aae022c8&amp;side=1</t>
  </si>
  <si>
    <t>https://www.megameediagrupp.ee/digiekraanid/valiekraanid?mapid=5fd72aae039e1&amp;side=1</t>
  </si>
  <si>
    <t>https://www.megameediagrupp.ee/digiekraanid/valiekraanid?mapid=5fd72aae05162&amp;side=1</t>
  </si>
  <si>
    <t>https://www.megameediagrupp.ee/digiekraanid/valiekraanid?mapid=5fd72aae10fb0&amp;side=1</t>
  </si>
  <si>
    <t>https://www.megameediagrupp.ee/digiekraanid/valiekraanid?mapid=5fd72aae07eb5&amp;side=1</t>
  </si>
  <si>
    <t>https://www.megameediagrupp.ee/digiekraanid/valiekraanid?mapid=5fd72aae096e6&amp;side=1</t>
  </si>
  <si>
    <t>https://www.megameediagrupp.ee/digiekraanid/valiekraanid?mapid=5fd72aae0afa2&amp;side=1</t>
  </si>
  <si>
    <t>https://www.megameediagrupp.ee/digiekraanid/valiekraanid?mapid=5fd72aae06801&amp;side=1</t>
  </si>
  <si>
    <t>https://www.megameediagrupp.ee/digiekraanid/valiekraanid?mapid=5fd72aae0f847&amp;side=1</t>
  </si>
  <si>
    <t>https://www.megameediagrupp.ee/digiekraanid/valiekraanid?mapid=5fd72aae0c600&amp;side=1</t>
  </si>
  <si>
    <t>https://www.megameediagrupp.ee/digiekraanid/valiekraanid?mapid=5fd72aae0df0f&amp;side=1</t>
  </si>
  <si>
    <t>https://www.megameediagrupp.ee/digiekraanid/valiekraanid?mapid=5ff6cff5c175b&amp;side=1</t>
  </si>
  <si>
    <t>Foorum</t>
  </si>
  <si>
    <t>Järve Keskus</t>
  </si>
  <si>
    <t>Kristiine Keskus</t>
  </si>
  <si>
    <t>Lasnamäe Tervisemaja</t>
  </si>
  <si>
    <t xml:space="preserve">Lennujaama Pagasisaali LED </t>
  </si>
  <si>
    <t xml:space="preserve">Lennujaam Väravate LED </t>
  </si>
  <si>
    <t>Magistrali Keskus</t>
  </si>
  <si>
    <t>Mustakivi Keskus</t>
  </si>
  <si>
    <t>Mustamäe Keskus</t>
  </si>
  <si>
    <t>Mustika Keskus</t>
  </si>
  <si>
    <t>Pirita keskus</t>
  </si>
  <si>
    <t>Postimaja</t>
  </si>
  <si>
    <t>Postimaja Keskus sise-LED</t>
  </si>
  <si>
    <t>Rocca Al Mare Kaubanduskeskus</t>
  </si>
  <si>
    <t>Smuuli XX Maxima</t>
  </si>
  <si>
    <t>Stockmann kaubamaja</t>
  </si>
  <si>
    <t>Stroomi Keskus</t>
  </si>
  <si>
    <t>Tallinna Lennujaam</t>
  </si>
  <si>
    <t>Ülemiste aatriumi LED</t>
  </si>
  <si>
    <t>Ülemiste infoleti LED</t>
  </si>
  <si>
    <t>Ülemiste Keskus</t>
  </si>
  <si>
    <t>Viimsi Keskus</t>
  </si>
  <si>
    <t>Viimsi Market</t>
  </si>
  <si>
    <t>Aleksandri LED</t>
  </si>
  <si>
    <t>Eeden LED</t>
  </si>
  <si>
    <t>Emajõe LED</t>
  </si>
  <si>
    <t>Kvartal LED</t>
  </si>
  <si>
    <t>Lõunakeskus LED</t>
  </si>
  <si>
    <t>Ringtee 35 LED</t>
  </si>
  <si>
    <t>Tartu Kaubamaja LED</t>
  </si>
  <si>
    <t>Tasku LED</t>
  </si>
  <si>
    <t>Eeden Keskus</t>
  </si>
  <si>
    <t>Kvartal</t>
  </si>
  <si>
    <t>Lõunakeskus</t>
  </si>
  <si>
    <t>Lõunakeskus sise-LED</t>
  </si>
  <si>
    <t>Tasku Keskus</t>
  </si>
  <si>
    <t>Kaubamajakas LED</t>
  </si>
  <si>
    <t>Pärnu Keskus LED</t>
  </si>
  <si>
    <t>Silla LED</t>
  </si>
  <si>
    <t>Pärnu Keskus</t>
  </si>
  <si>
    <t>XXX Maxima</t>
  </si>
  <si>
    <t>Astri Keskus LED</t>
  </si>
  <si>
    <t>Fama Keskus LED</t>
  </si>
  <si>
    <t>Astri Keskus</t>
  </si>
  <si>
    <t>Fama Keskus</t>
  </si>
  <si>
    <t>Auriga LED</t>
  </si>
  <si>
    <t>Tsentraal</t>
  </si>
  <si>
    <t>Viljandi Centrumi LED</t>
  </si>
  <si>
    <t>Uku Keskus</t>
  </si>
  <si>
    <t>Põhjakeskus</t>
  </si>
  <si>
    <t>Põhjakeskus LED</t>
  </si>
  <si>
    <t>Haapsalu Niine LED</t>
  </si>
  <si>
    <t>Rannarootsi Keskus</t>
  </si>
  <si>
    <t>Rappeli Keskus</t>
  </si>
  <si>
    <t>Vironia Kaubaduskeskus</t>
  </si>
  <si>
    <t>Narva mnt. 5</t>
  </si>
  <si>
    <t>Pärnu mnt. 238</t>
  </si>
  <si>
    <t>Endla 45</t>
  </si>
  <si>
    <t>Tartu mnt. 101</t>
  </si>
  <si>
    <t>Sõpruse pst. 201/ 203</t>
  </si>
  <si>
    <t>Mahtra 1</t>
  </si>
  <si>
    <t>Karjavälja 4</t>
  </si>
  <si>
    <t>Vana-Merivälja tee 24</t>
  </si>
  <si>
    <t>Narva mnt. 1</t>
  </si>
  <si>
    <t>Paevälja</t>
  </si>
  <si>
    <t>Liivalaia 53</t>
  </si>
  <si>
    <t>Tuulemaa 20</t>
  </si>
  <si>
    <t>Tartu maantee 101</t>
  </si>
  <si>
    <t>Sõpruse tee 15, Haabneeme</t>
  </si>
  <si>
    <t>Randvere tee 7a, Haabneeme</t>
  </si>
  <si>
    <t>Riia 2</t>
  </si>
  <si>
    <t>Kalda tee 1c</t>
  </si>
  <si>
    <t>Turu 2</t>
  </si>
  <si>
    <t>Riia 2,Tartu</t>
  </si>
  <si>
    <t>Ringtee 75</t>
  </si>
  <si>
    <t>Ringtee 35</t>
  </si>
  <si>
    <t>Riia 1</t>
  </si>
  <si>
    <t>Papiniidu 8</t>
  </si>
  <si>
    <t>Aida 7</t>
  </si>
  <si>
    <t>Riia maantee 131</t>
  </si>
  <si>
    <t>Tallinna maantee 41</t>
  </si>
  <si>
    <t>Fama põik 10</t>
  </si>
  <si>
    <t>Tallinna 88, Kudjape</t>
  </si>
  <si>
    <t>Keskväljak 4</t>
  </si>
  <si>
    <t>Tallinna 24</t>
  </si>
  <si>
    <t>Tallinna 41</t>
  </si>
  <si>
    <t>Tõrremäe</t>
  </si>
  <si>
    <t>Haljala tee 4</t>
  </si>
  <si>
    <t>Niine 27</t>
  </si>
  <si>
    <t>Rannarootsi tee 1</t>
  </si>
  <si>
    <t>Tallinna maantee 2e</t>
  </si>
  <si>
    <t>Järveküla tee 50</t>
  </si>
  <si>
    <t>https://www.megameediagrupp.ee/digiekraanid/siseekraanid/foorum-keskus/siseekraanid/</t>
  </si>
  <si>
    <t>https://www.megameediagrupp.ee/digiekraanid/siseekraanid/jarve-keskus/siseekraanid/</t>
  </si>
  <si>
    <t>https://www.megameediagrupp.ee/digiekraanid/siseekraanid/kristiine-keskus/siseekraanid/</t>
  </si>
  <si>
    <t>https://www.megameediagrupp.ee/digiekraanid/siseekraanid/lasnamae-tervisemaja/siseekraanid/</t>
  </si>
  <si>
    <t>https://www.megameediagrupp.ee/digiekraanid/siseekraanid/tallinna-lennujaam/siseekraanid-2/</t>
  </si>
  <si>
    <t>https://www.megameediagrupp.ee/digiekraanid/siseekraanid/magistrali-keskus/siseekraanid/</t>
  </si>
  <si>
    <t>https://www.megameediagrupp.ee/digiekraanid/siseekraanid/mustakivi-keskus/siseekraanid/</t>
  </si>
  <si>
    <t>https://www.megameediagrupp.ee/digiekraanid/siseekraanid/mustamae-keskus/siseekraanid/</t>
  </si>
  <si>
    <t>https://www.megameediagrupp.ee/digiekraanid/siseekraanid/mustika-keskus/siseekraanid/</t>
  </si>
  <si>
    <t>https://www.megameediagrupp.ee/digiekraanid/siseekraanid/pirita-keskus/siseekraanid/</t>
  </si>
  <si>
    <t>https://www.megameediagrupp.ee/digiekraanid/siseekraanid/postimaja/siseekraanid/</t>
  </si>
  <si>
    <t>https://www.megameediagrupp.ee/digiekraanid/siseekraanid/rocca-al-mare-kaubanduskeskus/siseekraanid/</t>
  </si>
  <si>
    <t>https://www.megameediagrupp.ee/digiekraanid/siseekraanid/smuuli-xx-maxima/siseekraanid/</t>
  </si>
  <si>
    <t>https://www.megameediagrupp.ee/digiekraanid/siseekraanid/stockmann-kaubamaja/siseekraanid/</t>
  </si>
  <si>
    <t>https://www.megameediagrupp.ee/digiekraanid/siseekraanid/stroomi-keskus/siseekraanid/</t>
  </si>
  <si>
    <t>https://www.megameediagrupp.ee/digiekraanid/siseekraanid/ulemiste-keskus/siseled/?serial=Aatriumi%20LED&amp;floor=1&amp;scrlmap=1</t>
  </si>
  <si>
    <t>https://www.megameediagrupp.ee/digiekraanid/siseekraanid/ulemiste-keskus/siseled/?serial=Infoleti%20LED&amp;floor=2&amp;scrlmap=1</t>
  </si>
  <si>
    <t>https://www.megameediagrupp.ee/digiekraanid/siseekraanid/ulemiste-keskus/siseekraanid-2/</t>
  </si>
  <si>
    <t>https://www.megameediagrupp.ee/digiekraanid/siseekraanid/viimsi-keskus/siseekraanid/</t>
  </si>
  <si>
    <t>https://www.megameediagrupp.ee/digiekraanid/siseekraanid/viimsi-market/siseekraanid/</t>
  </si>
  <si>
    <t>https://www.megameediagrupp.ee/digiekraanid/valiekraanid?mapid=5fd72aae19ee6&amp;side=1</t>
  </si>
  <si>
    <t>https://www.megameediagrupp.ee/digiekraanid/valiekraanid?mapid=5fd72aae1b958&amp;side=1</t>
  </si>
  <si>
    <t>https://www.megameediagrupp.ee/digiekraanid/valiekraanid?mapid=5fd72aae1d12c&amp;side=1</t>
  </si>
  <si>
    <t>https://www.megameediagrupp.ee/digiekraanid/valiekraanid?mapid=5fd72aae1587e&amp;side=1</t>
  </si>
  <si>
    <t>https://www.megameediagrupp.ee/digiekraanid/valiekraanid?mapid=5fd72aae186dc&amp;side=1</t>
  </si>
  <si>
    <t>https://www.megameediagrupp.ee/digiekraanid/valiekraanid?mapid=60b8bf2098a2d&amp;side=1</t>
  </si>
  <si>
    <t>https://www.megameediagrupp.ee/digiekraanid/valiekraanid?mapid=5ff6cff5bbd05&amp;side=1</t>
  </si>
  <si>
    <t>https://www.megameediagrupp.ee/digiekraanid/siseekraanid/eeden-keskus/siseekraanid/</t>
  </si>
  <si>
    <t>https://www.megameediagrupp.ee/digiekraanid/siseekraanid/kvartal/siseekraanid/</t>
  </si>
  <si>
    <t>https://www.megameediagrupp.ee/digiekraanid/siseekraanid/lounakeskus/siseekraanid/</t>
  </si>
  <si>
    <t>https://www.megameediagrupp.ee/digiekraanid/siseekraanid/lounakeskus/siseled/</t>
  </si>
  <si>
    <t>https://www.megameediagrupp.ee/digiekraanid/siseekraanid/tasku-keskus/siseekraanid/</t>
  </si>
  <si>
    <t>https://www.megameediagrupp.ee/digiekraanid/valiekraanid?mapid=5fd72aae1e8be&amp;side=1</t>
  </si>
  <si>
    <t>https://www.megameediagrupp.ee/digiekraanid/valiekraanid?mapid=5fd72aae1ffe9&amp;side=1</t>
  </si>
  <si>
    <t>https://www.megameediagrupp.ee/digiekraanid/valiekraanid?mapid=5fd72aae216f0&amp;side=1</t>
  </si>
  <si>
    <t>https://www.megameediagrupp.ee/digiekraanid/siseekraanid/parnu-keskus/siseekraanid/</t>
  </si>
  <si>
    <t>https://www.megameediagrupp.ee/digiekraanid/siseekraanid/xxx-maxima/siseekraanid/</t>
  </si>
  <si>
    <t>https://www.megameediagrupp.ee/digiekraanid/valiekraanid?mapid=5fd72aae22f23&amp;side=1</t>
  </si>
  <si>
    <t>https://www.megameediagrupp.ee/digiekraanid/valiekraanid?mapid=5fd72aae2463a&amp;side=1</t>
  </si>
  <si>
    <t>https://www.megameediagrupp.ee/digiekraanid/siseekraanid/astri-keskus/siseekraanid/</t>
  </si>
  <si>
    <t>https://www.megameediagrupp.ee/digiekraanid/siseekraanid/fama-keskus/siseekraanid/</t>
  </si>
  <si>
    <t>https://www.megameediagrupp.ee/digiekraanid/valiekraanid?mapid=5fd72aae25eb4&amp;side=1</t>
  </si>
  <si>
    <t>https://www.megameediagrupp.ee/digiekraanid/siseekraanid/tsentraal/siseekraanid/</t>
  </si>
  <si>
    <t>https://www.megameediagrupp.ee/digiekraanid/valiekraanid?mapid=60a61df732a5b&amp;side=1</t>
  </si>
  <si>
    <t>https://www.megameediagrupp.ee/digiekraanid/siseekraanid/uku-keskus/siseekraanid/</t>
  </si>
  <si>
    <t>https://www.megameediagrupp.ee/digiekraanid/siseekraanid/pohjakeskus/siseekraanid/</t>
  </si>
  <si>
    <t>https://www.megameediagrupp.ee/digiekraanid/valiekraanid?mapid=60abaa3ad9a8b&amp;side=1</t>
  </si>
  <si>
    <t>https://www.megameediagrupp.ee/digiekraanid/valiekraanid?mapid=60704f96be667&amp;side=1</t>
  </si>
  <si>
    <t>https://www.megameediagrupp.ee/digiekraanid/siseekraanid/rannarootsi-keskus/siseekraanid/</t>
  </si>
  <si>
    <t>https://www.megameediagrupp.ee/digiekraanid/siseekraanid/rappeli-keskus/siseekraanid/</t>
  </si>
  <si>
    <t>https://www.megameediagrupp.ee/digiekraanid/siseekraanid/vironia-kaubanduskeskus/siseekraanid/</t>
  </si>
  <si>
    <t>Kuressaare</t>
  </si>
  <si>
    <t>Kuressare</t>
  </si>
  <si>
    <t>Jõhvi</t>
  </si>
  <si>
    <t>Viljandi</t>
  </si>
  <si>
    <t>Rakvere</t>
  </si>
  <si>
    <t>Haapsalu</t>
  </si>
  <si>
    <t>Rapla</t>
  </si>
  <si>
    <t>Kohtla-Järve</t>
  </si>
  <si>
    <t>partner_name</t>
  </si>
  <si>
    <t>type</t>
  </si>
  <si>
    <t>subtype</t>
  </si>
  <si>
    <t>geo</t>
  </si>
  <si>
    <t>city</t>
  </si>
  <si>
    <t>city_district</t>
  </si>
  <si>
    <t>board_code</t>
  </si>
  <si>
    <t>board_subcode</t>
  </si>
  <si>
    <t>board_address</t>
  </si>
  <si>
    <t>bus_stop</t>
  </si>
  <si>
    <t>flow_direction</t>
  </si>
  <si>
    <t>side</t>
  </si>
  <si>
    <t>priority</t>
  </si>
  <si>
    <t>longitude</t>
  </si>
  <si>
    <t>latitude</t>
  </si>
  <si>
    <t>cmnt</t>
  </si>
  <si>
    <t>WALL</t>
  </si>
  <si>
    <t>Muu</t>
  </si>
  <si>
    <t>marker</t>
  </si>
  <si>
    <t>code_type_second</t>
  </si>
  <si>
    <t>board_key</t>
  </si>
  <si>
    <t>board_key_short</t>
  </si>
  <si>
    <t>PMG - BB -  - Pärnu mnt.186 eraldusribal / Virve 8 (186-2), linnast (mõõt 5,5x2,7m) - 1</t>
  </si>
  <si>
    <t>PMG - BB -  - Pärnu mnt.186 eraldusribal(uus nimi 186-1), kesklinna suund - 1</t>
  </si>
  <si>
    <t>PMG - BB -  - Pärnu mnt.186 eraldusribal (uus nimi 186-1), kesklinnast - 1</t>
  </si>
  <si>
    <t>PMG - BB -  - Pärnu mnt. Amserv, eraldusribal, kesklinna - 1</t>
  </si>
  <si>
    <t>PMG - BB -  - Pärnu mnt. Amserv, eraldusribal, kesklinnast - 1</t>
  </si>
  <si>
    <t>PMG - BB -  - Pärnu mnt.T9, viadukt, suunaga Mustamäele - 1</t>
  </si>
  <si>
    <t>PMG - BB -  - Mustamäe tee 19, kesklinna  - 1</t>
  </si>
  <si>
    <t>PMG - BB -  - Mustamäe tee 19, kesklinnast  - 1</t>
  </si>
  <si>
    <t>PMG - BB -  - Mustamäe /Paldiski mnt. rist, suunaga Haaberstisse - 1</t>
  </si>
  <si>
    <t>PMG - BB -  - Mustamäe/Paldiski mnt. rist suunaga kesklinna - 1</t>
  </si>
  <si>
    <t>PMG - BB -  - Paldiski mnt 95, kesklinnast. - 1</t>
  </si>
  <si>
    <t>PMG - BB -  - Paldiski mnt 95, kesklinna - 1</t>
  </si>
  <si>
    <t>PMG - BB -  - Paldiski mnt.Humala tn. Ristmik,  eraldusribal, Õismäele linnast - 1</t>
  </si>
  <si>
    <t>PMG - BB -  - Paldiski mnt.Humala tn. Ristmik,  eraldusribal, Õismäelt linna - 1</t>
  </si>
  <si>
    <t>PMG - BB -  - Paldiski mnt.80, eraldusribal, G4S vastas, suund kesklinnast - 1</t>
  </si>
  <si>
    <t>PMG - BB -  - Paldiski mnt. 131, eraldusribal, kesklinna  - 1</t>
  </si>
  <si>
    <t>PMG - BB -  - Paldiski mnt. 131, eraldusribal, kesklinnast - 1</t>
  </si>
  <si>
    <t>PMG - BB -  - Paldiski mnt. 127, eraldusribal, kesklinna - 1</t>
  </si>
  <si>
    <t>PMG - BB -  - Paldiski mnt. 127, eraldusribal, kesklinnast - 1</t>
  </si>
  <si>
    <t>PMG - BB -  - Paldiski mnt 94a, eraldusribal, kesklinnast                          - 1</t>
  </si>
  <si>
    <t>PMG - BB -  - Paldiski mnt 94a, eraldusribal, kesklinna                            - 1</t>
  </si>
  <si>
    <t>PMG - BB -  - Paldiski mnt 96, eraldusribal, kesklinnast                           - 1</t>
  </si>
  <si>
    <t>PMG - BB -  - Paldiski mnt 96, eraldusribal, kesklinna                              - 1</t>
  </si>
  <si>
    <t>PMG - BB -  - Paldiski mnt 96a, eraldusribal, kesklinnast                         - 1</t>
  </si>
  <si>
    <t>PMG - BB -  - Paldiski mnt 96a, eraldusribal, kesklinna                            - 1</t>
  </si>
  <si>
    <t>PMG - BB -  - Paldiski mnt. Neste vastas, eraldusribal, kesklinna - 1</t>
  </si>
  <si>
    <t>PMG - BB -  - Paldiski mnt. Neste vastas, eraldusribal, kesklinnast - 1</t>
  </si>
  <si>
    <t>PMG - BB -  - Paldiski mnt. 100a, eraldusribal, kesklinnast                       - 1</t>
  </si>
  <si>
    <t>PMG - BB -  - Paldiski mnt. 100a, eraldusribal, kesklinna                        - 1</t>
  </si>
  <si>
    <t>PMG - BB -  - Paldiski mnt.ROCCA AL MARE keskuse vastas, kesklinna - 1</t>
  </si>
  <si>
    <t>PMG - BB -  - Paldiski mnt.ROCCA AL MARE keskuse vastas, Õismäele - 1</t>
  </si>
  <si>
    <t>PMG - BB -  - Paldiski mnt.Status Clubiga kohakuti, kesklinna - 1</t>
  </si>
  <si>
    <t>PMG - BB -  - Paldiski mnt.Status Clubiga kohakuti, kesklinnast - 1</t>
  </si>
  <si>
    <t>PMG - BB -  - Paldiski mnt. Vabaóhumuuseumi tee juures, kesklinna   - 1</t>
  </si>
  <si>
    <t>PMG - BB -  - Paldiski mnt. Vabaóhumuuseumi tee juures, kesklinnast  - 1</t>
  </si>
  <si>
    <t>PMG - BB -  - Paldiski mnt.102/ Saku Suurhalli ees suund linnast välja - 1</t>
  </si>
  <si>
    <t>PMG - BB -  - Rannamõisa tee 1a, eraldusribal, Arigato, suund kesklinnast - 1</t>
  </si>
  <si>
    <t>PMG - BB -  - Rannamõisa tee 1a, eraldusribal, Arigato, suund kesklinna - 1</t>
  </si>
  <si>
    <t>PMG - BB -  - Haabersti ringi keskel, kesklinnast tulles - 1</t>
  </si>
  <si>
    <t>PMG - BB -  - Haabersti ringi keskel, Rannamõisa teel tulles - 1</t>
  </si>
  <si>
    <t>PMG - BB -  - Rannamõisa tee 3, "Bauhaus" vastas, suund linnast välja, eraldusribal - 1</t>
  </si>
  <si>
    <t>PMG - BB -  - Rannamõisa tee 3, "Bauhaus" vastas, suund linna, eraldusribal - 1</t>
  </si>
  <si>
    <t>PMG - BB -  - Rannamõisa tee 6, "Kakumäe Selver" vastas, suund linnast välja  - 1</t>
  </si>
  <si>
    <t>PMG - BB -  - Rannamõisa tee 6, "Kakumäe Selver" vastas, suund linna - 1</t>
  </si>
  <si>
    <t>PMG - BB -  - Öismäe tee/Ehitajate tee ristmik  (Subaru keskuse vastas), Haaberstisse - 1</t>
  </si>
  <si>
    <t>PMG - BB -  - Öismäe tee/Ehitajate tee ristmik (Subaru keskuse vastas), Haaberstist - 1</t>
  </si>
  <si>
    <t>PMG - BB -  - Õismäe tee ring, Nurmenuku poe juures, kesklinna                    - 1</t>
  </si>
  <si>
    <t>PMG - BB -  - Õismäe tee ring Nurmenuku poe juures, kesklinnast                    - 1</t>
  </si>
  <si>
    <t>PMG - BB -  - Paldiski mnt./Óismäe tee ristmik, kesklinna  - 1</t>
  </si>
  <si>
    <t>PMG - BB -  - Paldiski mnt./Óismäe tee ristmik, kesklinnast  - 1</t>
  </si>
  <si>
    <t>PMG - BB -  - Öismäe tee 87  sõidusuunas (eraldussaarekesel), Väike õismäe peatus, kesklinna - 1</t>
  </si>
  <si>
    <t>PMG - BB -  - Õismäe tee 87 vastasuunas (eraldussaarekesel), Väike Õismäe peatus, kesklinnast - 1</t>
  </si>
  <si>
    <t>PMG - BB -  - Ehitajate tee 122 (Autospirit Keskuse ees),  - 1</t>
  </si>
  <si>
    <t>PMG - BB -  - Ehitajate tee 122  (Autospirit Keskuse ees)    - 1</t>
  </si>
  <si>
    <t>PMG - BB -  - Ehitajate tee 105*,kesklinna  - 1</t>
  </si>
  <si>
    <t>PMG - BB -  - Ehitajate tee 105*, kesklinnast  - 1</t>
  </si>
  <si>
    <t>PMG - BB -  - Sõpruse pst.6 ees, kesklinnast,  - 1</t>
  </si>
  <si>
    <t>PMG - BB -  - Sõpruse pst.6 ees, kesklinna  - 1</t>
  </si>
  <si>
    <t>PMG - BB -  - Sõpruse pst.enne Rimi kauplust, kesklinnast - 1</t>
  </si>
  <si>
    <t>PMG - BB -  - Sõpruse pst. Enne Rimi kauplust, kesklinna - 1</t>
  </si>
  <si>
    <t>PMG - BB -  - Sõpruse pst. ja Linnu tee rist, kesklinnast  - 1</t>
  </si>
  <si>
    <t>PMG - BB -  - Sõpruse pst. ja Linnu tee rist, kesklinna  - 1</t>
  </si>
  <si>
    <t>PMG - BB -  - Sõpruse pst. Siili, kesklinna - 1</t>
  </si>
  <si>
    <t>PMG - BB -  - Sõpruse pst. Siili, kesklinnast  - 1</t>
  </si>
  <si>
    <t>PMG - BB -  - Sõpruse pst./Tammsaare tee ristmik, suund kesklinnast - 1</t>
  </si>
  <si>
    <t>PMG - BB -  - Sõpruse pst./Tammsaare tee ristmik, suund kesklinna - 1</t>
  </si>
  <si>
    <t>PMG - BB -  - Sõpruse 179/Tammsaare tee ristmik, suund kesklinna - 1</t>
  </si>
  <si>
    <t>PMG - BB -  - Sõpruse 179/Tammsaare tee ristmik, suund kesklinnast - 1</t>
  </si>
  <si>
    <t>PMG - BB -  - Sõpruse 213, suund kesklinna - 1</t>
  </si>
  <si>
    <t>PMG - BB -  - Sõpruse 213, suund kesklinnast - 1</t>
  </si>
  <si>
    <t>PMG - BB -  - Sõpruse 206, suund kesklinnast - 1</t>
  </si>
  <si>
    <t>PMG - BB -  - Sõpruse 206, suund kesklinna  - 1</t>
  </si>
  <si>
    <t>PMG - BB -  - Sõpruse pst. 201/203, kesklinna                                   - 1</t>
  </si>
  <si>
    <t>PMG - BB -  - Sõpruse pst. 201/203, kesklinnast                            - 1</t>
  </si>
  <si>
    <t>PMG - BB -  - Sõpruse pst./"Magistral"  suunaga kesklinna - 1</t>
  </si>
  <si>
    <t>PMG - BB -  - Sõpruse pst. /"Magistral"  suunaga kesklinnast  - 1</t>
  </si>
  <si>
    <t>PMG - BB -  - Tammsaare tee/Sõpruse pst. nurgal , Haaberstisse - 1</t>
  </si>
  <si>
    <t>PMG - BB -  - Tammsaare tee/Sõpruse pst. nurgal, Ülemistesse  - 1</t>
  </si>
  <si>
    <t>PMG - BB -  - Tammsaare tee/Retke tee rist, Ülemistesse - 1</t>
  </si>
  <si>
    <t>PMG - BB -  - Tammsaare tee/Retke tee rist, Haaberstisse   - 1</t>
  </si>
  <si>
    <t>PMG - BB -  - Tammsaare tee/Rahumäe ristmik, suund Ülemistesse  - 1</t>
  </si>
  <si>
    <t>PMG - BB -  - Tammsaare tee/Rahumäe ristmik, suund Mustamäele - 1</t>
  </si>
  <si>
    <t>PMG - BB -  - Tammsaare tee/Tondi Selver, suund Mustamäele - 1</t>
  </si>
  <si>
    <t>PMG - BB -  - Tammsaare tee /Tondi Selver suund Ülemistesse - 1</t>
  </si>
  <si>
    <t>PMG - BB -  - Mustamäe tee/Tammsaare tee ristmik, kesklinnast - 1</t>
  </si>
  <si>
    <t>PMG - BB -  - Mustamäe tee 86 - 1</t>
  </si>
  <si>
    <t>PMG - BB -  - Mustamäe tee 86 - 2</t>
  </si>
  <si>
    <t>PMG - BB -  - Mustamäe tee/Tammsaare tee ristmik, kesklinna  - 1</t>
  </si>
  <si>
    <t>PMG - BB -  - Mustamäe tee/Tammsaare tee ristmik, Circkle K, suunaga kesklinna - 1</t>
  </si>
  <si>
    <t>PMG - BB -  - Mustamäe tee/Tammsaare tee ristmik, Circkle K, suunaga kesklinnast - 1</t>
  </si>
  <si>
    <t>PMG - BB -  - Mustamäe tee 137, suund kesklinna - 1</t>
  </si>
  <si>
    <t>PMG - BB -  - Mustamäe tee 137, suund kesklinnast - 1</t>
  </si>
  <si>
    <t>PMG - BB -  - Tammsaare tee 81a., suund Rocca al Maresse         - 1</t>
  </si>
  <si>
    <t>PMG - BB -  - Tammsaare tee 81a., suund Järvevana tee poole              - 1</t>
  </si>
  <si>
    <t>PMG - BB -  - Tammsaare tee 144c, suund Rocca al Mare poole - 1</t>
  </si>
  <si>
    <t>PMG - BB -  - Tammsaare tee 144c, suund Järvevana tee poole - 1</t>
  </si>
  <si>
    <t>PMG - BB -  - Kadaka Selveri (Tammsaare tee/Ehitajate tee/Kadaka tee ristmik), Haaberstisse       - 1</t>
  </si>
  <si>
    <t>PMG - BB -  - Kadaka Selver, suund Haaberstist     - 1</t>
  </si>
  <si>
    <t>PMG - BB -  - Pärnu mnt 453h, kesklinna  - 1</t>
  </si>
  <si>
    <t>PMG - BB -  - Pärnu mnt 453h, kesklinnast                               - 1</t>
  </si>
  <si>
    <t>PMG - BB -  - Pärnu mnt. Pääsküla Selveri ees, suunaga kesklinnast  - 1</t>
  </si>
  <si>
    <t>PMG - BB -  - Pärnu mnt.  Pääsküla Selveri ees, suunaga kesklinna  - 1</t>
  </si>
  <si>
    <t>PMG - BB -  - Ehitajate tee TTÜ bussipeatus, suunaga Nõmmele - 1</t>
  </si>
  <si>
    <t>PMG - BB -  - Ehitajate tee TTÜ bussipeatus, suunaga Mustamäele - 1</t>
  </si>
  <si>
    <t>PMG - BB -  - Vabaduse pst. ja Männiku tee ristmik   * parempoolne, vabaduse - 1</t>
  </si>
  <si>
    <t>PMG - BB -  - Männiku tee ja Vabaduse pst ristmik * vasakpoolne, männiku - 1</t>
  </si>
  <si>
    <t>PMG - BB -  - Tehnika/Endla tn.rist, Kristiine viadukti kallakul, suund Kristiinesse - 1</t>
  </si>
  <si>
    <t>PMG - BB -  - Narva mnt 23, (mõõt 6X3m)  - 1</t>
  </si>
  <si>
    <t>PMG - BB -  - Ahtri 6 suund linna - 1</t>
  </si>
  <si>
    <t>PMG - BB -  - Suur-Ameerika 35 kesklinna pool (mõõt 6x3m), suund Kristiinesse - 1</t>
  </si>
  <si>
    <t>PMG - BB -  - Tartu mnt 75 ees, suund kesklinna (Europarklas) - 1</t>
  </si>
  <si>
    <t>PMG - BB -  - Tartu mnt 75 ees, suund kesklinnast (Europarklas) - 1</t>
  </si>
  <si>
    <t>PMG - BB -  - Tartu mnt. Sikupilli Keskuse ees (Fahle vastas),  suund kesklinna - 1</t>
  </si>
  <si>
    <t>PMG - BB -  - Tartu mnt. Sikupilli Keskuse ees (Fahle vastas), suund kesklinnast - 1</t>
  </si>
  <si>
    <t>PMG - BB -  - Tartu mnt 87, Sikupilli Keskuse ees (Prisma), suund kesklinna - 1</t>
  </si>
  <si>
    <t>PMG - BB -  - Tartu mnt 87, Sikupilli Keskuse ees (Prisma), suund kesklinnast - 1</t>
  </si>
  <si>
    <t>PMG - BB -  - Pärnu mnt ja Rapla tn ristmik, kesklinna - 1</t>
  </si>
  <si>
    <t>PMG - BB -  - Pärnu mnt ja Rapla tn ristmik, kesklinnast  - 1</t>
  </si>
  <si>
    <t>PMG - BB -  - Tartu mnt.119/ "Vianor" juures, väljasõit (5,5 x 2,7m) - 1</t>
  </si>
  <si>
    <t>PMG - BB -  - Tartu mnt. Lennujaama juures*, kesklinna - 1</t>
  </si>
  <si>
    <t>PMG - BB -  - Tartu mnt. Lennujaama juures*, kesklinnast - 1</t>
  </si>
  <si>
    <t>PMG - BB -  - Tartu mnt/ "Ülemiste Keskus"-ga kohakuti, väljasõit (5,5 x 2,7m) - 1</t>
  </si>
  <si>
    <t>PMG - BB -  - Tartu mnt väljasõit post nr.3, kesklinnast   - 1</t>
  </si>
  <si>
    <t>PMG - BB -  - Järvevana tee/Tartu mnt ristmiku juures, Ülemistesse - 1</t>
  </si>
  <si>
    <t>PMG - BB -  - Järvevana tee/Tartu mnt ristmiku juures, Järvele - 1</t>
  </si>
  <si>
    <t>PMG - BB -  - Järvevana tee/Circkle K, suund Järvele - 1</t>
  </si>
  <si>
    <t>PMG - BB -  - Järvevana tee/Circkle K, suund Ülemistesse - 1</t>
  </si>
  <si>
    <t>PMG - BB -  - Järvevana tee, suund "Ülemiste Keskus" - 1</t>
  </si>
  <si>
    <t>PMG - BB -  - Järvevana tee, suund Järvele - 1</t>
  </si>
  <si>
    <t>PMG - BB -  - Järvevana tee/Veepuhastusjaam - suund Ülemistesse - 1</t>
  </si>
  <si>
    <t>PMG - BB -  - Järvevana tee/Veepuhastusjaam - suund Järvele - 1</t>
  </si>
  <si>
    <t>PMG - BB -  - Järvevana tee/ Veerenni rist, post 2, suund Ülemistesse - 1</t>
  </si>
  <si>
    <t>PMG - BB -  - Järvevana tee/Veerenni rist, post 2, suund Järvele  - 1</t>
  </si>
  <si>
    <t>PMG - BB -  - Järvevana tee/Veerenni rist - suund Ülemistesse-1 - 1</t>
  </si>
  <si>
    <t>PMG - BB -  - Järvevana tee/Veerenni rist - suund Järvele - 1</t>
  </si>
  <si>
    <t>PMG - BB -  - Järvevana tee- Peterburi tee tunneli ja viadukti vahel suund Lasnamäe - 1</t>
  </si>
  <si>
    <t>PMG - BB -  - Järvana tee-Peterburi tee tunneli ja viadukti vahel suund Järvele - 1</t>
  </si>
  <si>
    <t>PMG - BB -  - Järvevana tee-viadukt - Espak kauplusega kohakuti, suund Järvele - 1</t>
  </si>
  <si>
    <t>PMG - BB -  - Järvevana tee - viadukt - Espak kauplusega kohakuti, suund Peterburi teele - 1</t>
  </si>
  <si>
    <t>PMG - BB -  - Peterburi tee 4, kesklinnast  - 1</t>
  </si>
  <si>
    <t>PMG - BB -  - Peterburi tee 4, kesklinna  - 1</t>
  </si>
  <si>
    <t>PMG - BB -  - Peterburi mnt.50 (enne viadukti), suund linnast - 1</t>
  </si>
  <si>
    <t>PMG - BB -  - Peterburi mnt.50(enne viadukti), suund linna - 1</t>
  </si>
  <si>
    <t>PMG - BB -  - Peterburi tee ja Vesse tn ristmik *, kesklinnast  - 1</t>
  </si>
  <si>
    <t>PMG - BB -  - Peterburi tee ja Vesse tn ristmik*, kesklinna  - 1</t>
  </si>
  <si>
    <t>PMG - BB -  - Peterburi mnt / Smuuli nurk, suunaga linnast - 1</t>
  </si>
  <si>
    <t>PMG - BB -  - Peterburi mnt / Smuuli nurk, suunaga linna - 1</t>
  </si>
  <si>
    <t>PMG - BB -  - Peterburi tee ja Smuuli tee ristmik  *, linnast - 1</t>
  </si>
  <si>
    <t>PMG - BB -  - Peterburi tee ja Smuuli tee ristmik  *, linna  - 1</t>
  </si>
  <si>
    <t>PMG - BB -  - Peterburi tee ja Smuuli tee ristmik, Circkle K juures *  - 1</t>
  </si>
  <si>
    <t>PMG - BB -  - Peterburi tee ja Kuuli tn. ristmik, eraldusribal  *, suund kesklinnast - 1</t>
  </si>
  <si>
    <t>PMG - BB -  - Peterburi tee ja Kuuli tn. ristmik, eraldusribal  *, suund kesklinna  - 1</t>
  </si>
  <si>
    <t>PMG - BB -  - Peterburi tee ja Paneeli tn rismik *, suund kesklinnast - 1</t>
  </si>
  <si>
    <t>PMG - BB -  - Peterburi tee ja Paneeli tn rismik *, suund kesklinna - 1</t>
  </si>
  <si>
    <t>PMG - BB -  - Peterburi tee Nissani Keskusega kohakuti suund kesklinna - 1</t>
  </si>
  <si>
    <t>PMG - BB -  - Peterburi tee Nissani Keskusega kohakuti suund  kesklinnast - 1</t>
  </si>
  <si>
    <t>PMG - BB -  - Peterburi tee ja Mustakivi tee ristmik *, suund kesklinnast - 1</t>
  </si>
  <si>
    <t>PMG - BB -  - Peterburi tee ja Mustakivi tee ristmik *, suund kesklinna  - 1</t>
  </si>
  <si>
    <t>PMG - BB -  - Peterburi tee, enne Mustakivi ritmikku (eraldusribal)  valgustuseta - 1</t>
  </si>
  <si>
    <t>PMG - BB -  - Peterburi tee, enne Mustakivi ritmikku (eraldusribal)  valgustuseta - 2</t>
  </si>
  <si>
    <t>PMG - BB -  - Peterburi tee, Katusepapi tn juures,  enne Tartu mnt ristmikku, kesklinna - 1</t>
  </si>
  <si>
    <t>PMG - BB -  - Peterburi tee , Katusepapi tn juures,  enne Tartu mnt ristmikku, kesklinnast - 1</t>
  </si>
  <si>
    <t>PMG - BB -  - Peterburi tee ja Majaka tn rist suund kesklinna - 1</t>
  </si>
  <si>
    <t>PMG - BB -  - Peterburi tee 61*, kesklinna - 1</t>
  </si>
  <si>
    <t>PMG - BB -  - Peterburi tee 61*, kesklinnast - 1</t>
  </si>
  <si>
    <t>PMG - BB -  - Peterburi tee 67a ja Smuuli ristmik, Ericssoni maja juures*  - 1</t>
  </si>
  <si>
    <t>PMG - BB -  - Peterburi tee 67a ja Smuuli ristmik, Ericssoni maja juures*  - 2</t>
  </si>
  <si>
    <t>PMG - BB -  - Laagna tee algus, post nr.1, suund kesklinnast - 1</t>
  </si>
  <si>
    <t>PMG - BB -  - Laagna tee algus, post nr.1, suund kesklinna - 1</t>
  </si>
  <si>
    <t>PMG - BB -  - Laagna tee, Pallasti silla juures -1 (eraldusribal), suund kesklinnast   - 1</t>
  </si>
  <si>
    <t>PMG - BB -  - Laagna tee, Pallasti silla juures -1 (eraldusribal), suund kesklinna   - 1</t>
  </si>
  <si>
    <t>PMG - BB -  - Laagna teel, Pallasti silla juures -2, eraldusribal, suunaga kesklinnast - 1</t>
  </si>
  <si>
    <t>PMG - BB -  - Laagna teel, Pallasti silla juures -2, eraldusribal, suunaga kesklinna - 1</t>
  </si>
  <si>
    <t>PMG - BB -  - Laagna tee,Võidujooksu silla juures, kesklinnast - 1</t>
  </si>
  <si>
    <t>PMG - BB -  - Laagna tee, Võidujooksu silla juures, kesklinna - 1</t>
  </si>
  <si>
    <t>PMG - BB -  - Laagna tee/Smuuli viadukt 1, eraldusribal, suund kesklinnast - 1</t>
  </si>
  <si>
    <t>PMG - BB -  - Laagna tee/Smuuli viadukt 1, eraldusribal, suund kesklinna - 1</t>
  </si>
  <si>
    <t>PMG - BB -  - Laagna tee, Smuuli silla juures 2 (eraldusribal), linnast  - 1</t>
  </si>
  <si>
    <t>PMG - BB -  - Laagna tee, Smuuli silla juures2 (eraldusribal), linna  - 1</t>
  </si>
  <si>
    <t>PMG - BB -  - Laagna tee, Varraku silla juures, kesklinnast  - 1</t>
  </si>
  <si>
    <t>PMG - BB -  - Laagna tee, Varraku silla juures, kesklinna  - 1</t>
  </si>
  <si>
    <t>PMG - BB -  - Laagna tee,  Mustakivi silla juures  *, kesklinnast - 1</t>
  </si>
  <si>
    <t>PMG - BB -  - Laagna tee,  Mustakivi silla juures  *, kesklinna  - 1</t>
  </si>
  <si>
    <t>PMG - BB -  - Laagna tee ja Mahtra tn.ristmik, Mustakivi keskuse juures, kesklinnast  - 1</t>
  </si>
  <si>
    <t>PMG - BB -  - Laagna tee ja Mahtra tn.ristmik, Mustakivi keskuse juures, kesklinna  - 1</t>
  </si>
  <si>
    <t>PMG - BB -  - Laagna tee, Ümera Keskuse juures (eraldusribal), kesklinnast  - 1</t>
  </si>
  <si>
    <t>PMG - BB -  - Laagna tee, Ümera Keskuse juures (eraldusribal), kesklinna   - 1</t>
  </si>
  <si>
    <t>PMG - BB -  - Punase tn/ Smuuli nurgal (Peterburi mnt poole) - 1</t>
  </si>
  <si>
    <t>PMG - BB -  - Punase tn/ Smuuli nurgal (Peterburi mnt poolt) - 1</t>
  </si>
  <si>
    <t>PMG - BB -  - Punane tn. ja Smuuli tee ristmik /Tallinna Küte ees, kesklinnast  - 1</t>
  </si>
  <si>
    <t>PMG - BB -  - Punane tn. ja Smuuli tee, Tallinna Küte ees, ristmik, kesklinna   - 1</t>
  </si>
  <si>
    <t>PMG - BB -  - Smuuli tee ja Paekaare tn ristmik, Peterburi tee poole  - 1</t>
  </si>
  <si>
    <t>PMG - BB -  - Smuuli tee ja Paekaare tn ristmik, Peterburi teelt  - 1</t>
  </si>
  <si>
    <t>PMG - BB -  - Smuuli teel, Laagna tee pöördel, Peterburi teelt  - 1</t>
  </si>
  <si>
    <t>PMG - BB -  - Smuuli teel, Laagna tee pöördel, Peterburi tee suunas  - 1</t>
  </si>
  <si>
    <t>PMG - BB -  - Smuuli tee 9 "Maxima XXL" vastas, eraldusribal, suund Piritale - 1</t>
  </si>
  <si>
    <t>PMG - BB -  - Smuuli tee 9 "Maxima XXL" vastas, eraldusribal, suund Peterburi teele - 1</t>
  </si>
  <si>
    <t>PMG - BB -  - Mustakivi tee ja Punase tn ristmik, LCentrum (eraldusribal)*, Peterburi teel tulles   - 1</t>
  </si>
  <si>
    <t>PMG - BB -  - Mustakivi tee ja Punase tn ristmik, LCentrum (eraldusribal)*, Peterburi teel poole   - 1</t>
  </si>
  <si>
    <t>PMG - BB -  - Mustakivi tee 13/ Lasnamäe "Centrum" ees, Peterburi tee poole. - 1</t>
  </si>
  <si>
    <t>PMG - BB -  - Mustakivi tee 13/ Lasnamäe"Centrum" ees, Peterburi teelt tulles. - 1</t>
  </si>
  <si>
    <t>PMG - BB -  - Mustakivi tee ja Tähesaju tee ristmik  *, Peterburi teele - 1</t>
  </si>
  <si>
    <t>PMG - BB -  - Mustakivi tee ja Tähesaju tee ristmik  *, Peterburi teelt - 1</t>
  </si>
  <si>
    <t>PMG - BB -  - Merivälja tee 71, kesklinna  - 1</t>
  </si>
  <si>
    <t>PMG - BB -  - Merivälja tee 71, kesklinnast  - 1</t>
  </si>
  <si>
    <t>PMG - BB -  - Pirita teel eraldusribal Pirita Selveri ees suund kesklinna - 1</t>
  </si>
  <si>
    <t>PMG - BB -  - Pirita teel eraldusribal Pirita Selveri ees suund kesklinnast - 1</t>
  </si>
  <si>
    <t>PMG - BB -  - Pirita tee, suund kesklinna, mere pool - 1</t>
  </si>
  <si>
    <t>PMG - BB -  - Pirita tee, suund kesklinnast, mere pool - 1</t>
  </si>
  <si>
    <t>PMG - BB -  - Pirita teel Topiga kohakuti suund kesklinna  - 1</t>
  </si>
  <si>
    <t>PMG - BB -  - Pirita teel Topiga kohakuti suund kesklinnast  - 1</t>
  </si>
  <si>
    <t>PMG - BB -  - Pirita tee/Saare tee ristis, eraldusribal, suund kesklinna - 1</t>
  </si>
  <si>
    <t>PMG - BB -  - Pirita tee/Saare tee ristis, eraldusribal, suund kesklinnast - 1</t>
  </si>
  <si>
    <t>PMG - BB -  - Narva mnt. Lauluväljaku tagumise sissepääsu juures. ristmik  *,kesklinnast - 1</t>
  </si>
  <si>
    <t>PMG - BB -  - Pirita tee ja Narva mnt ristmik*, kesklinnast - 1</t>
  </si>
  <si>
    <t>PMG - BB -  - Pirita tee ja Narva mnt ristmik*, kesklinna - 1</t>
  </si>
  <si>
    <t>PMG - WALL -  - Tartu mnt 68 *, öösidega, (mõõt 12X11,7m), kokku 140,4m2 - 1</t>
  </si>
  <si>
    <t>PMG - WALL -  - Tartu mnt 42, (mõõt 12x10,90m), kokku 130,8m2          - 1</t>
  </si>
  <si>
    <t>PMG - WALL -  - Rävala pst.3, Radisson Hotell, (mõõt 7,5X24,12m) kokku 180,90m2 - 1</t>
  </si>
  <si>
    <t>PMG - WALL -  - Narva mnt 19, (mõõt 6X9,9m) - 1</t>
  </si>
  <si>
    <t>PMG - WALL -  - Narva mnt 31 -D (üleval),(mõõt 6X3m) - 1</t>
  </si>
  <si>
    <t>PMG - WALL -  - Narva mnt 31-C (ülalt teine), (mõõt 6X3m)  - 1</t>
  </si>
  <si>
    <t>PMG - WALL -  - Narva mnt 31-B (ülalt kolmas), (mõõt 6X3m) - 1</t>
  </si>
  <si>
    <t>PMG - WALL -  - Narva mnt 31-A (alt esimene), ( mõõt 6X3m) - 1</t>
  </si>
  <si>
    <t>PMG - WALL -  - Narva mnt 31, ( mõõt 6X12,5m) - 1</t>
  </si>
  <si>
    <t>PMG - WALL -  - Gonsiori 5, (mõõt 3,95X9,95m),  - 1</t>
  </si>
  <si>
    <t>PMG - WALL -  - Pärnu mnt./Liivalaia nurgal, IMAX, (mõõt 9,9x14,4m), kokku 142,56m2 - 1</t>
  </si>
  <si>
    <t>PMG - WALL -  - Liivalaia 25, suunaga Tartu mnt.poole, (mõõt 2,5x7m)   - 1</t>
  </si>
  <si>
    <t>PMG - WALL -  - Liivalaia 29-1, (mõõt 6X3m) - 1</t>
  </si>
  <si>
    <t>PMG - WALL -  - Liivalaia 29-2, (mõõt 6X3m) - 1</t>
  </si>
  <si>
    <t>PMG - WALL -  - Liivalaia 29-3, (mõõt 6X3m) - 1</t>
  </si>
  <si>
    <t>PMG - WALL -  - Liivalaia 29 seinal, (mõõt 6x9m), kokku 54m2 - 1</t>
  </si>
  <si>
    <t>PMG - WALL -  - Liivalaia 29 seinal, MÕÕT: 6x18,2m/109,2m2 - 1</t>
  </si>
  <si>
    <t>PMG - WALL -  - Liivalaia 3, MÕÕT: 6x9,9m - 1</t>
  </si>
  <si>
    <t>PMG - WALL -  - Suur-Ameerika 35 Kristiine pool 4.2x2.1m (öösidega 30cm,tugevdatud serv) - 1</t>
  </si>
  <si>
    <t>PMG - WALL -  - Kristiine viadukt,kesklinnast kristiinesse, valgustatud, (mõõt 8,89x2,09m) - 1</t>
  </si>
  <si>
    <t>PMG - WALL -  - Kristiine viadukt,kesklinna, valgustamata (saab korda), (mõõt 12,85 x2,09m) - 1</t>
  </si>
  <si>
    <t>PMG - WALL -  - Kristiine viadukt, väike, kesklinnast (mõõt 5,39X2,09m) - 1</t>
  </si>
  <si>
    <t>PMG - WALL -  - Kristiine viadukt, väike, kesklinna, (mõõt 5,39X2,09m)  - 1</t>
  </si>
  <si>
    <t>PMG - WALL -  - Pärnu mnt. 135 "Kalevi" peatus/suund kesklinna /tunnelitega, (mõõt 6X2,9m) - 1</t>
  </si>
  <si>
    <t>PMG - WALL -  - Pärnu mnt. 135 "Kalevi" peatus/suund linnast välja, (mõõt 6X2,9m) - 1</t>
  </si>
  <si>
    <t>PMG - WALL -  - Pärnu mnt. 137 "Kalevi" peatus/suund kesklinna /tunnelitega, (mõõt 6X2,9m) - 1</t>
  </si>
  <si>
    <t>PMG - WALL -  - Pärnu mnt. 137 "Kalevi" peatus/suund linnast välja, (mõõt 6X2,9m) - 1</t>
  </si>
  <si>
    <t>PMG - BB -  - Võru ja Ringtee ristis, suund ringteele. TARTU - 1</t>
  </si>
  <si>
    <t>PMG - BB -  - Võru ja Ringtee ristis, suund kesklinna. TARTU   - 1</t>
  </si>
  <si>
    <t>PMG - BB -  - Ringtee 39, suund kesklinna. TARTU  - 1</t>
  </si>
  <si>
    <t>PMG - BB -  - Ringtee 39, suund Lõunakeskusesse. TARTU  - 1</t>
  </si>
  <si>
    <t>PMG - BB -  - Jaama tn. 173 "Kivilinna Konsum" ees, suund kesklinnast. TARTU  - 1</t>
  </si>
  <si>
    <t>PMG - BB -  - Jaama tn.173 "Kivilinna Konsum" ees, suund kesklinna. TARTU - 1</t>
  </si>
  <si>
    <t>PMG - BB -  - Kalda tee 5 parkla suund Anne Selver, kesklinna. TARTU   - 1</t>
  </si>
  <si>
    <t>PMG - BB -  - Kalda tee 5 parkla suund Ehituse ABC. TARTU - 1</t>
  </si>
  <si>
    <t>PMG - BB -  - Turu-Saekoja( Vase 5 ees), suund kesklinnast. TARTU   - 1</t>
  </si>
  <si>
    <t>PMG - BB -  - Turu-Saekoja( Vase 5 ees), suund kesklinna. TARTU   - 1</t>
  </si>
  <si>
    <t>PMG - BB -  - Aardla-Roopa  (suund "Lõunakeskusesse"), TARTU. - 1</t>
  </si>
  <si>
    <t>PMG - BB -  - Aardla-Roopa, suund kesklinna. TARTU   - 1</t>
  </si>
  <si>
    <t>PMG - BB -  - Ringtee 75B, Lõunakeskus 1 Lõunakeskuse poolt (öösid/30cm/tugevdatud). TARTU. - 1</t>
  </si>
  <si>
    <t>PMG - BB -  - Tartu- Võru tn.171 Tartu pool (valgustamata),  öösitatud, suund Tartust. - 1</t>
  </si>
  <si>
    <t>PMG - BB -  - Tartu-Võru tn.171 Võru pool (valgustamata), öösitatud,suund Võrust. - 1</t>
  </si>
  <si>
    <t>PMG - BB -  - Papiniidu 4- Kaubamajaka/Riia mnt. poolt (öösidega 30cm, tugevdatud ääred). PÄRNU - 1</t>
  </si>
  <si>
    <t>PMG - BB -  - Papiniidu 4,-Kaubamajas, Silla poolt tulles.PÄRNU - 1</t>
  </si>
  <si>
    <t>PMG - BB -  - Tallinna mnt. ja Rahu tn. Ristmik-suund kesklinna. NARVA - 1</t>
  </si>
  <si>
    <t>PMG - BB -  - Tallinna mnt. ja Rahu tn. Ristmik-suund kesklinnast. NARVA - 1</t>
  </si>
  <si>
    <t>PMG - BB -  - Tallinn - Tartu mnt. 110 km. - 1</t>
  </si>
  <si>
    <t>PMG - BB -  - Tallinn - Tartu mnt. 110 km. - 2</t>
  </si>
  <si>
    <t>PMG - BB -  - Tallinn - Tartu mnt. 162 km. - 1</t>
  </si>
  <si>
    <t>PMG - BB -  - Tallinn - Tartu mnt. 162 km. - 2</t>
  </si>
  <si>
    <t>PMG - BB -  - Kükita 1 Tallinna pool (Tallinn - Tartu 80 km) - 1</t>
  </si>
  <si>
    <t>PMG - BB -  - Kükita 1 Tartu pool - 1</t>
  </si>
  <si>
    <t>PMG - BB -  - Mäeküla Tallinna pool (Tallinn - Tartu 92 km) - 1</t>
  </si>
  <si>
    <t>PMG - BB -  - Mäeküla Tartu pool - 1</t>
  </si>
  <si>
    <t>PMG - BB -  - Koigi Tallinna pool (Tallinn - Tartu 98 km.) - 1</t>
  </si>
  <si>
    <t>PMG - BB -  - Koigi Tartu pool - 1</t>
  </si>
  <si>
    <t>PMG - BB -  - Põltsamaa Tallinna pool (Tallinn - Tartu 120 km.) - 1</t>
  </si>
  <si>
    <t>PMG - BB -  - Põltsamaa Tartu pool - 1</t>
  </si>
  <si>
    <t>PMG - BB -  - Tähtvere Tallinna pool (Tallinn - Tartu 177 km.) - 1</t>
  </si>
  <si>
    <t>PMG - BB -  - Tähtvere Tartu poolt - 1</t>
  </si>
  <si>
    <t>PMG - BB -  - Tähtvere 2 Tallinna pool (Tallinn - Tartu 177  km) - 1</t>
  </si>
  <si>
    <t>PMG - BB -  - Tähtvere 2 Tartu pool - 1</t>
  </si>
  <si>
    <t>PMG - BB -  - Tartu - Võru mnt.1 /  Ülenurme - Tartu poolt - 1</t>
  </si>
  <si>
    <t>PMG - BB -  - Tartu - Võru mnt.1 / Ülenurme - Võru poolt - 1</t>
  </si>
  <si>
    <t>PMG - BB -  - Tartu-Narva mnt. 5 km. Kõrveküla Tartu poolt - 1</t>
  </si>
  <si>
    <t>PMG - BB -  - Tartu-Narva mnt Kõrveküla Narva poolt - 1</t>
  </si>
  <si>
    <t>PMG - BB -  - Tln-Pärnu mnt.1 / 4 km, Tallinna pool - 1</t>
  </si>
  <si>
    <t>PMG - BB -  - Tln-Pärnu mnt 1 Pärnu pool - 1</t>
  </si>
  <si>
    <t>PMG - BB -  - Tallinn - Pärnu 20 km. - 1</t>
  </si>
  <si>
    <t>PMG - BB -  - Tallinn - Pärnu 20 km. - 2</t>
  </si>
  <si>
    <t>PMG - BB -  - Tallinn - Narva mnt. 13 km. - 1</t>
  </si>
  <si>
    <t>PMG - BB -  - Tallinn - Narva mnt. 13 km. - 2</t>
  </si>
  <si>
    <t>PMG - BB -  - Tallinn - Haapsalu 37,5 km - 1</t>
  </si>
  <si>
    <t>PMG - BB -  - Tallinn - Haapsalu 37,5 km - 2</t>
  </si>
  <si>
    <t>PMG - Linnasambad  -  - Tartu mnt ja Pronksi tn nurk (If Kindlustuse ees) valgustatud - 1</t>
  </si>
  <si>
    <t>PMG - Linnasambad  -  - Narva mnt Raua ja Vilmsi nurk valgustatud - 1</t>
  </si>
  <si>
    <t>PMG - Linnasambad  -  - Narva mnt ja Petrooleumi nurgal - 1</t>
  </si>
  <si>
    <t>PMG - Linnasambad  -  - Liivalaia ja Veerenni nurgal - 1</t>
  </si>
  <si>
    <t>PMG - Linnasambad  -  - Liivalaia 24 ees (Kohtumaja) 11,7 m2 valgustatud - 1</t>
  </si>
  <si>
    <t>PMG - Linnasambad  -  - Liivalaia 32 (Lastgepolikliiniku ees) - 1</t>
  </si>
  <si>
    <t>PMG - Linnasambad  -  - Narva mnt 19 ees (Kodutarve ees) valgustatud - 1</t>
  </si>
  <si>
    <t>PMG - Linnasambad  -  - Tartu mnt Odra ristmik valgustatud - 1</t>
  </si>
  <si>
    <t>PMG - Linnasambad  -  - Pärnu mnt ja Suur - Ameerika nurgal valgustatud - 1</t>
  </si>
  <si>
    <t>PMG - Linnasambad  -  - Narva mnt ja Weizenbergi nurgal valgustatud - 1</t>
  </si>
  <si>
    <t>PMG - Linnasambad  -  - Pärnu mnt ja Väike - Ameerika nurgal - 1</t>
  </si>
  <si>
    <t>PMG - Linnasambad  -  - Liivalaia 5 ja 7 nurgal jalakäijate tunneli juures valgustatud - 1</t>
  </si>
  <si>
    <t>PMG - Linnasambad  -  - Narva mnt 7c ees - 1</t>
  </si>
  <si>
    <t>PMG - Linnasambad  -  - Odra tn Bussijaama juures valgustatud - 1</t>
  </si>
  <si>
    <t>PMG - Linnasambad  -  - Juhkentali Püssirohu bussipeatus valgustatud - 1</t>
  </si>
  <si>
    <t>PMG - Linnasambad  -  - Tartu mnt ja Kivisilla tn nurgal (DnB Nord Panga juures) - 1</t>
  </si>
  <si>
    <t>PMG - Linnasambad  -  - Narva mnt Kodutarve ees - 1</t>
  </si>
  <si>
    <t>PMG - Linnasambad  -  - Pärnu mnt Kino Kosmos ees valgustatud - 1</t>
  </si>
  <si>
    <t>PMG - Linnasambad  -  - Pärnu mnt 146 ees valgustatud - 1</t>
  </si>
  <si>
    <t>PMG - Linnasambad  -  - Pärnu mnt 113 Magdaleena Haigla vastas - 1</t>
  </si>
  <si>
    <t>PMG - Digiekraanid -  - Foorum LED (audio) - 1</t>
  </si>
  <si>
    <t>PMG - Digiekraanid -  - Järve LED (audio) - 1</t>
  </si>
  <si>
    <t>PMG - Digiekraanid -  - Lasnamäe Centrum LED - 1</t>
  </si>
  <si>
    <t>PMG - Digiekraanid -  - Mustamäe Keskus LED (audio) - 1</t>
  </si>
  <si>
    <t>PMG - Digiekraanid -  - Nautica LED - 1</t>
  </si>
  <si>
    <t>PMG - Digiekraanid -  - Peterburi tee 2f LED - 1</t>
  </si>
  <si>
    <t>PMG - Digiekraanid -  - Sikupilli LED (audio) - 1</t>
  </si>
  <si>
    <t>PMG - Digiekraanid -  - Rocca Al Mare LED - 1</t>
  </si>
  <si>
    <t>PMG - Digiekraanid -  - Tammsaare LED - 1</t>
  </si>
  <si>
    <t>PMG - Digiekraanid -  - Tartu mnt. 64 LED - 1</t>
  </si>
  <si>
    <t>PMG - Digiekraanid -  - Tartu mnt. 119 LED - 1</t>
  </si>
  <si>
    <t>PMG - Digiekraanid -  - Ülemiste City LED - 1</t>
  </si>
  <si>
    <t>PMG - Digiekraanid -  - Ussimäe LED - 1</t>
  </si>
  <si>
    <t>PMG - Digiekraanid -  - Ülemiste Apollo LED - 1</t>
  </si>
  <si>
    <t>PMG - Digiekraanid -  - Regati pst 1 LED (Hawaii) - 1</t>
  </si>
  <si>
    <t>PMG - Digiekraanid -  - Ülemiste Neste LED - 1</t>
  </si>
  <si>
    <t>PMG - Digiekraanid -  - Pirita tee Messikeskuse LED - 1</t>
  </si>
  <si>
    <t>PMG - Digiekraanid -  - Pärnu mnt. Vaheriba LED - 1</t>
  </si>
  <si>
    <t>PMG - Digiekraanid -  - Paldiski mnt. Loomaaia LED - 1</t>
  </si>
  <si>
    <t>PMG - Digiekraanid -  - Jakobi LED - 1</t>
  </si>
  <si>
    <t>PMG - Digiekraanid -  - Kadaka LED - 1</t>
  </si>
  <si>
    <t>PMG - Digiekraanid -  - Kristiine Parkla LED - 1</t>
  </si>
  <si>
    <t>PMG - Digiekraanid -  - Kristiine Keskuse peaukse LED - 1</t>
  </si>
  <si>
    <t>PMG - Digiekraanid -  - Maakri LED - 1</t>
  </si>
  <si>
    <t>PMG - Digiekraanid -  - Mustakivi LED - 1</t>
  </si>
  <si>
    <t>PMG - Digiekraanid -  - Narva mnt 4. LED - 1</t>
  </si>
  <si>
    <t>PMG - Digiekraanid -  - Narva mnt. 24 LED - 1</t>
  </si>
  <si>
    <t>PMG - Digiekraanid -  - Pärnu mnt. 135 LED (Veloplus)  - 1</t>
  </si>
  <si>
    <t>PMG - Digiekraanid -  - Radisson Blu Sky LED - 1</t>
  </si>
  <si>
    <t>PMG - Digiekraanid -  - Rävala LED - 1</t>
  </si>
  <si>
    <t>PMG - Digiekraanid -  - Sõpruse LED - 1</t>
  </si>
  <si>
    <t>PMG - Digiekraanid -  - Pärnu mnt. 139f LED (Isku) - 1</t>
  </si>
  <si>
    <t>PMG - Digiekraanid -  - Reidi tee LED - 1</t>
  </si>
  <si>
    <t>PMG - Digiekraanid -  - Viimsi Keskus LED - 1</t>
  </si>
  <si>
    <t>PMG - Digiekraanid -  - Villardi LED - 1</t>
  </si>
  <si>
    <t>PMG - Digiekraanid -  - Ülemiste Pylon - 1</t>
  </si>
  <si>
    <t>PMG - Digiekraanid -  - Foorum - 1</t>
  </si>
  <si>
    <t>PMG - Digiekraanid -  - Järve Keskus - 1</t>
  </si>
  <si>
    <t>PMG - Digiekraanid -  - Kristiine Keskus - 1</t>
  </si>
  <si>
    <t>PMG - Digiekraanid -  - Lasnamäe Tervisemaja - 1</t>
  </si>
  <si>
    <t>PMG - Digiekraanid -  - Lennujaama Pagasisaali LED  - 1</t>
  </si>
  <si>
    <t>PMG - Digiekraanid -  - Lennujaam Väravate LED  - 1</t>
  </si>
  <si>
    <t>PMG - Digiekraanid -  - Magistrali Keskus - 1</t>
  </si>
  <si>
    <t>PMG - Digiekraanid -  - Mustakivi Keskus - 1</t>
  </si>
  <si>
    <t>PMG - Digiekraanid -  - Mustamäe Keskus - 1</t>
  </si>
  <si>
    <t>PMG - Digiekraanid -  - Mustika Keskus - 1</t>
  </si>
  <si>
    <t>PMG - Digiekraanid -  - Pirita keskus - 1</t>
  </si>
  <si>
    <t>PMG - Digiekraanid -  - Postimaja - 1</t>
  </si>
  <si>
    <t>PMG - Digiekraanid -  - Postimaja Keskus sise-LED - 1</t>
  </si>
  <si>
    <t>PMG - Digiekraanid -  - Rocca Al Mare Kaubanduskeskus - 1</t>
  </si>
  <si>
    <t>PMG - Digiekraanid -  - Smuuli XX Maxima - 1</t>
  </si>
  <si>
    <t>PMG - Digiekraanid -  - Stockmann kaubamaja - 1</t>
  </si>
  <si>
    <t>PMG - Digiekraanid -  - Stroomi Keskus - 1</t>
  </si>
  <si>
    <t>PMG - Digiekraanid -  - Tallinna Lennujaam - 1</t>
  </si>
  <si>
    <t>PMG - Digiekraanid -  - Ülemiste aatriumi LED - 1</t>
  </si>
  <si>
    <t>PMG - Digiekraanid -  - Ülemiste infoleti LED - 1</t>
  </si>
  <si>
    <t>PMG - Digiekraanid -  - Ülemiste Keskus - 1</t>
  </si>
  <si>
    <t>PMG - Digiekraanid -  - Viimsi Keskus - 1</t>
  </si>
  <si>
    <t>PMG - Digiekraanid -  - Viimsi Market - 1</t>
  </si>
  <si>
    <t>PMG - Digiekraanid -  - Aleksandri LED - 1</t>
  </si>
  <si>
    <t>PMG - Digiekraanid -  - Eeden LED - 1</t>
  </si>
  <si>
    <t>PMG - Digiekraanid -  - Emajõe LED - 1</t>
  </si>
  <si>
    <t>PMG - Digiekraanid -  - Kvartal LED - 1</t>
  </si>
  <si>
    <t>PMG - Digiekraanid -  - Lõunakeskus LED - 1</t>
  </si>
  <si>
    <t>PMG - Digiekraanid -  - Ringtee 35 LED - 1</t>
  </si>
  <si>
    <t>PMG - Digiekraanid -  - Tartu Kaubamaja LED - 1</t>
  </si>
  <si>
    <t>PMG - Digiekraanid -  - Tasku LED - 1</t>
  </si>
  <si>
    <t>PMG - Digiekraanid -  - Eeden Keskus - 1</t>
  </si>
  <si>
    <t>PMG - Digiekraanid -  - Kvartal - 1</t>
  </si>
  <si>
    <t>PMG - Digiekraanid -  - Lõunakeskus - 1</t>
  </si>
  <si>
    <t>PMG - Digiekraanid -  - Lõunakeskus sise-LED - 1</t>
  </si>
  <si>
    <t>PMG - Digiekraanid -  - Tasku Keskus - 1</t>
  </si>
  <si>
    <t>PMG - Digiekraanid -  - Kaubamajakas LED - 1</t>
  </si>
  <si>
    <t>PMG - Digiekraanid -  - Pärnu Keskus LED - 1</t>
  </si>
  <si>
    <t>PMG - Digiekraanid -  - Silla LED - 1</t>
  </si>
  <si>
    <t>PMG - Digiekraanid -  - Pärnu Keskus - 1</t>
  </si>
  <si>
    <t>PMG - Digiekraanid -  - XXX Maxima - 1</t>
  </si>
  <si>
    <t>PMG - Digiekraanid -  - Astri Keskus LED - 1</t>
  </si>
  <si>
    <t>PMG - Digiekraanid -  - Fama Keskus LED - 1</t>
  </si>
  <si>
    <t>PMG - Digiekraanid -  - Astri Keskus - 1</t>
  </si>
  <si>
    <t>PMG - Digiekraanid -  - Fama Keskus - 1</t>
  </si>
  <si>
    <t>PMG - Digiekraanid -  - Auriga LED - 1</t>
  </si>
  <si>
    <t>PMG - Digiekraanid -  - Tsentraal - 1</t>
  </si>
  <si>
    <t>PMG - Digiekraanid -  - Viljandi Centrumi LED - 1</t>
  </si>
  <si>
    <t>PMG - Digiekraanid -  - Uku Keskus - 1</t>
  </si>
  <si>
    <t>PMG - Digiekraanid -  - Põhjakeskus - 1</t>
  </si>
  <si>
    <t>PMG - Digiekraanid -  - Põhjakeskus LED - 1</t>
  </si>
  <si>
    <t>PMG - Digiekraanid -  - Haapsalu Niine LED - 1</t>
  </si>
  <si>
    <t>PMG - Digiekraanid -  - Rannarootsi Keskus - 1</t>
  </si>
  <si>
    <t>PMG - Digiekraanid -  - Rappeli Keskus - 1</t>
  </si>
  <si>
    <t>PMG - Digiekraanid -  - Vironia Kaubaduskeskus - 1</t>
  </si>
  <si>
    <t>price_since</t>
  </si>
  <si>
    <t>price_until</t>
  </si>
  <si>
    <t>year_week</t>
  </si>
  <si>
    <t>start_date</t>
  </si>
  <si>
    <t>end_date</t>
  </si>
  <si>
    <t>week</t>
  </si>
  <si>
    <t>coefficient</t>
  </si>
  <si>
    <t>Linnasambad</t>
  </si>
  <si>
    <t>price_one_week</t>
  </si>
  <si>
    <t>coef_category</t>
  </si>
  <si>
    <t>type_first</t>
  </si>
  <si>
    <t>board_since</t>
  </si>
  <si>
    <t>board_until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</si>
</sst>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€-2]\ * #,##0.00_-;\-[$€-2]\ * #,##0.00_-;_-[$€-2]\ * &quot;-&quot;??_-;_-@_-"/>
    <numFmt numFmtId="165" formatCode="_-* #,##0.0000_-;\-* #,##0.0000_-;_-* &quot;-&quot;??_-;_-@_-"/>
    <numFmt numFmtId="166" formatCode="#,##0.0000_ ;\-#,##0.0000\ "/>
  </numFmts>
  <fonts count="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86"/>
      <scheme val="minor"/>
    </font>
    <font>
      <b/>
      <sz val="10"/>
      <name val="Arial"/>
      <family val="2"/>
      <charset val="186"/>
    </font>
    <font>
      <b/>
      <sz val="1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4" fillId="2" borderId="1" xfId="2" applyNumberFormat="1" applyFont="1" applyFill="1" applyBorder="1"/>
    <xf numFmtId="0" fontId="4" fillId="2" borderId="1" xfId="0" applyFont="1" applyFill="1" applyBorder="1"/>
    <xf numFmtId="0" fontId="4" fillId="0" borderId="0" xfId="0" applyFont="1"/>
    <xf numFmtId="0" fontId="4" fillId="0" borderId="1" xfId="0" applyFont="1" applyBorder="1"/>
    <xf numFmtId="165" fontId="4" fillId="0" borderId="0" xfId="0" applyNumberFormat="1" applyFont="1"/>
    <xf numFmtId="4" fontId="4" fillId="0" borderId="0" xfId="0" applyNumberFormat="1" applyFont="1"/>
    <xf numFmtId="43" fontId="4" fillId="2" borderId="1" xfId="1" applyNumberFormat="1" applyFont="1" applyFill="1" applyBorder="1"/>
    <xf numFmtId="43" fontId="4" fillId="0" borderId="0" xfId="0" applyNumberFormat="1" applyFont="1"/>
    <xf numFmtId="14" fontId="4" fillId="0" borderId="0" xfId="0" applyNumberFormat="1" applyFont="1"/>
    <xf numFmtId="3" fontId="4" fillId="0" borderId="0" xfId="0" applyNumberFormat="1" applyFont="1"/>
    <xf numFmtId="0" fontId="0" fillId="0" borderId="0" xfId="0" applyBorder="1"/>
    <xf numFmtId="3" fontId="4" fillId="0" borderId="0" xfId="0" applyNumberFormat="1" applyFont="1" applyBorder="1"/>
    <xf numFmtId="14" fontId="4" fillId="0" borderId="0" xfId="0" applyNumberFormat="1" applyFont="1" applyBorder="1"/>
    <xf numFmtId="4" fontId="4" fillId="0" borderId="0" xfId="0" applyNumberFormat="1" applyFont="1" applyBorder="1"/>
    <xf numFmtId="43" fontId="4" fillId="0" borderId="1" xfId="0" applyNumberFormat="1" applyFont="1" applyBorder="1"/>
    <xf numFmtId="0" fontId="5" fillId="0" borderId="1" xfId="4" applyBorder="1"/>
    <xf numFmtId="0" fontId="4" fillId="2" borderId="1" xfId="2" applyNumberFormat="1" applyFont="1" applyFill="1" applyBorder="1" applyAlignment="1"/>
    <xf numFmtId="0" fontId="4" fillId="0" borderId="1" xfId="0" applyFont="1" applyBorder="1" applyAlignment="1"/>
    <xf numFmtId="0" fontId="4" fillId="0" borderId="0" xfId="0" applyFont="1" applyAlignment="1"/>
    <xf numFmtId="0" fontId="3" fillId="3" borderId="1" xfId="2" applyNumberFormat="1" applyFont="1" applyFill="1" applyBorder="1"/>
    <xf numFmtId="0" fontId="3" fillId="3" borderId="1" xfId="0" applyFont="1" applyFill="1" applyBorder="1"/>
    <xf numFmtId="165" fontId="3" fillId="3" borderId="1" xfId="1" applyNumberFormat="1" applyFont="1" applyFill="1" applyBorder="1"/>
    <xf numFmtId="166" fontId="4" fillId="2" borderId="1" xfId="1" applyNumberFormat="1" applyFont="1" applyFill="1" applyBorder="1"/>
    <xf numFmtId="166" fontId="4" fillId="0" borderId="1" xfId="0" applyNumberFormat="1" applyFont="1" applyBorder="1"/>
    <xf numFmtId="0" fontId="4" fillId="0" borderId="1" xfId="0" applyNumberFormat="1" applyFont="1" applyBorder="1"/>
    <xf numFmtId="0" fontId="3" fillId="3" borderId="1" xfId="2" applyNumberFormat="1" applyFont="1" applyFill="1" applyBorder="1" applyAlignment="1"/>
    <xf numFmtId="43" fontId="3" fillId="3" borderId="1" xfId="1" applyNumberFormat="1" applyFont="1" applyFill="1" applyBorder="1"/>
    <xf numFmtId="43" fontId="3" fillId="3" borderId="1" xfId="1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3" fillId="4" borderId="1" xfId="1" applyNumberFormat="1" applyFont="1" applyFill="1" applyBorder="1"/>
    <xf numFmtId="14" fontId="3" fillId="4" borderId="1" xfId="1" applyNumberFormat="1" applyFont="1" applyFill="1" applyBorder="1"/>
    <xf numFmtId="14" fontId="4" fillId="2" borderId="1" xfId="1" applyNumberFormat="1" applyFont="1" applyFill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0" fillId="0" borderId="1" xfId="0" applyNumberFormat="1" applyBorder="1"/>
    <xf numFmtId="43" fontId="6" fillId="3" borderId="1" xfId="1" applyFont="1" applyFill="1" applyBorder="1"/>
    <xf numFmtId="14" fontId="4" fillId="0" borderId="1" xfId="0" applyNumberFormat="1" applyFont="1" applyBorder="1"/>
  </cellXfs>
  <cellStyles count="5">
    <cellStyle name="Comma" xfId="1" builtinId="3"/>
    <cellStyle name="Hyperlink" xfId="4" builtinId="8"/>
    <cellStyle name="Normal" xfId="0" builtinId="0"/>
    <cellStyle name="Normal 3" xfId="3" xr:uid="{181E158D-6201-4CC9-B2FF-9B205C244A28}"/>
    <cellStyle name="Normal_Sheet1" xfId="2" xr:uid="{DF1042FC-D199-4BAD-99AF-D7248E26C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in Kask" id="{653EFABB-08F5-45A8-829E-9274E20AC58F}" userId="S::rain.kask@telia.ee::db033391-746b-43a1-a4a8-12b7b839cd87" providerId="AD"/>
</personList>
</file>

<file path=xl/theme/theme1.xml><?xml version="1.0" encoding="utf-8"?>
<a:theme xmlns:a="http://schemas.openxmlformats.org/drawingml/2006/main" name="Office Theme">
  <a:themeElements>
    <a:clrScheme name="Telia + Diil + SUPER + TV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D4B48"/>
      </a:accent1>
      <a:accent2>
        <a:srgbClr val="009CDD"/>
      </a:accent2>
      <a:accent3>
        <a:srgbClr val="A5A5A5"/>
      </a:accent3>
      <a:accent4>
        <a:srgbClr val="FBBF04"/>
      </a:accent4>
      <a:accent5>
        <a:srgbClr val="00CDCD"/>
      </a:accent5>
      <a:accent6>
        <a:srgbClr val="990AE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0-05-25T11:28:13.65" personId="{653EFABB-08F5-45A8-829E-9274E20AC58F}" id="{24B24890-7C80-4C71-B10D-FC2AE27FC247}">
    <text>meie lisatud - millisesse kategooriasse kuulub lehelt "JCD_coefs" - sellest sõltub hind erinevatel nädalatel</text>
  </threadedComment>
  <threadedComment ref="R1" dT="2020-10-16T08:38:37.69" personId="{653EFABB-08F5-45A8-829E-9274E20AC58F}" id="{3F2E828A-3793-4890-8E83-391A7C344B82}">
    <text>meie lisatud - vajalik erinevate allikate ühendamiseks
CCL jõuga konverteeritud CL'iks (koodis pole vahet meie jaoks, aga JCD edastab vahel ühel kujul, vahel teisel kujul nende pindade koode)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0-05-25T11:28:13.65" personId="{653EFABB-08F5-45A8-829E-9274E20AC58F}" id="{C7FB8A58-E812-4B3F-B535-6E2CB22758BF}">
    <text>meie lisatud - ühe nädala baas maksumus Teliale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gameediagrupp.ee/valimeedia/reklaamtahvlid-6x3?mapid=5fd72a0e5c481&amp;side=2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3116-0DFD-4334-803A-5292303FF985}">
  <sheetPr>
    <tabColor rgb="FF92D050"/>
  </sheetPr>
  <dimension ref="A1:W402"/>
  <sheetViews>
    <sheetView topLeftCell="O1" zoomScale="70" zoomScaleNormal="70" workbookViewId="0">
      <pane ySplit="1" topLeftCell="A2" activePane="bottomLeft" state="frozen"/>
      <selection activeCell="M34" sqref="M34"/>
      <selection pane="bottomLeft" activeCell="T22" sqref="T22"/>
    </sheetView>
  </sheetViews>
  <sheetFormatPr defaultColWidth="8.85546875" defaultRowHeight="12.75" x14ac:dyDescent="0.2"/>
  <cols>
    <col min="1" max="1" width="14.42578125" style="3" bestFit="1" customWidth="1"/>
    <col min="2" max="2" width="12.5703125" style="3" bestFit="1" customWidth="1"/>
    <col min="3" max="3" width="8.7109375" style="3" bestFit="1" customWidth="1"/>
    <col min="4" max="4" width="4.85546875" style="3" bestFit="1" customWidth="1"/>
    <col min="5" max="6" width="23" style="3" bestFit="1" customWidth="1"/>
    <col min="7" max="7" width="74.28515625" style="19" bestFit="1" customWidth="1"/>
    <col min="8" max="8" width="15.7109375" style="19" bestFit="1" customWidth="1"/>
    <col min="9" max="9" width="74.28515625" style="3" bestFit="1" customWidth="1"/>
    <col min="10" max="10" width="24.28515625" style="3" bestFit="1" customWidth="1"/>
    <col min="11" max="11" width="31.5703125" style="3" bestFit="1" customWidth="1"/>
    <col min="12" max="12" width="5.28515625" style="3" bestFit="1" customWidth="1"/>
    <col min="13" max="13" width="12.85546875" style="3" customWidth="1"/>
    <col min="14" max="15" width="15.42578125" style="5" bestFit="1" customWidth="1"/>
    <col min="16" max="16" width="112.7109375" style="3" bestFit="1" customWidth="1"/>
    <col min="17" max="17" width="15.28515625" style="8" bestFit="1" customWidth="1"/>
    <col min="18" max="18" width="20.28515625" style="3" bestFit="1" customWidth="1"/>
    <col min="19" max="19" width="7.85546875" style="3" bestFit="1" customWidth="1"/>
    <col min="20" max="20" width="93.85546875" style="3" bestFit="1" customWidth="1"/>
    <col min="21" max="21" width="88.85546875" style="3" bestFit="1" customWidth="1"/>
    <col min="22" max="22" width="12.85546875" style="3" bestFit="1" customWidth="1"/>
    <col min="23" max="23" width="12.140625" style="3" bestFit="1" customWidth="1"/>
    <col min="24" max="16384" width="8.85546875" style="3"/>
  </cols>
  <sheetData>
    <row r="1" spans="1:23" x14ac:dyDescent="0.2">
      <c r="A1" s="21" t="s">
        <v>1034</v>
      </c>
      <c r="B1" s="21" t="s">
        <v>1467</v>
      </c>
      <c r="C1" s="21" t="s">
        <v>1036</v>
      </c>
      <c r="D1" s="21" t="s">
        <v>1037</v>
      </c>
      <c r="E1" s="21" t="s">
        <v>1038</v>
      </c>
      <c r="F1" s="21" t="s">
        <v>1039</v>
      </c>
      <c r="G1" s="26" t="s">
        <v>1040</v>
      </c>
      <c r="H1" s="26" t="s">
        <v>1041</v>
      </c>
      <c r="I1" s="20" t="s">
        <v>1042</v>
      </c>
      <c r="J1" s="20" t="s">
        <v>1043</v>
      </c>
      <c r="K1" s="20" t="s">
        <v>1044</v>
      </c>
      <c r="L1" s="21" t="s">
        <v>1045</v>
      </c>
      <c r="M1" s="21" t="s">
        <v>1046</v>
      </c>
      <c r="N1" s="22" t="s">
        <v>1047</v>
      </c>
      <c r="O1" s="22" t="s">
        <v>1048</v>
      </c>
      <c r="P1" s="20" t="s">
        <v>1049</v>
      </c>
      <c r="Q1" s="27" t="s">
        <v>1466</v>
      </c>
      <c r="R1" s="28" t="s">
        <v>1053</v>
      </c>
      <c r="S1" s="21" t="s">
        <v>1052</v>
      </c>
      <c r="T1" s="29" t="s">
        <v>1054</v>
      </c>
      <c r="U1" s="29" t="s">
        <v>1055</v>
      </c>
      <c r="V1" s="29" t="s">
        <v>1468</v>
      </c>
      <c r="W1" s="29" t="s">
        <v>1469</v>
      </c>
    </row>
    <row r="2" spans="1:23" ht="15" x14ac:dyDescent="0.25">
      <c r="A2" s="4" t="s">
        <v>13</v>
      </c>
      <c r="B2" s="4" t="s">
        <v>12</v>
      </c>
      <c r="C2" s="4"/>
      <c r="D2" s="4"/>
      <c r="E2" s="1" t="s">
        <v>0</v>
      </c>
      <c r="F2" s="1" t="s">
        <v>2</v>
      </c>
      <c r="G2" s="1" t="s">
        <v>238</v>
      </c>
      <c r="H2" s="17">
        <v>1</v>
      </c>
      <c r="I2" s="1" t="s">
        <v>238</v>
      </c>
      <c r="J2" s="1"/>
      <c r="K2" s="1" t="s">
        <v>468</v>
      </c>
      <c r="L2" s="1"/>
      <c r="M2" s="1"/>
      <c r="N2" s="23">
        <v>24.727067000000002</v>
      </c>
      <c r="O2" s="23">
        <v>59.399158999999997</v>
      </c>
      <c r="P2" s="2" t="s">
        <v>14</v>
      </c>
      <c r="Q2" s="4" t="s">
        <v>12</v>
      </c>
      <c r="R2" s="7"/>
      <c r="S2" s="1"/>
      <c r="T2" s="4" t="str">
        <f>CONCATENATE(A2," - ",B2," - ",C2," - ",G2," - ",H2)</f>
        <v>PMG - BB -  - Pärnu mnt.186 eraldusribal / Virve 8 (186-2), linnast (mõõt 5,5x2,7m) - 1</v>
      </c>
      <c r="U2" s="4" t="str">
        <f>CONCATENATE(A2," - ",B2," - ",G2,)</f>
        <v>PMG - BB - Pärnu mnt.186 eraldusribal / Virve 8 (186-2), linnast (mõõt 5,5x2,7m)</v>
      </c>
      <c r="V2" s="40">
        <v>44562</v>
      </c>
      <c r="W2" s="31"/>
    </row>
    <row r="3" spans="1:23" ht="15" x14ac:dyDescent="0.25">
      <c r="A3" s="4" t="s">
        <v>13</v>
      </c>
      <c r="B3" s="4" t="s">
        <v>12</v>
      </c>
      <c r="C3" s="4"/>
      <c r="D3" s="4"/>
      <c r="E3" s="1" t="s">
        <v>0</v>
      </c>
      <c r="F3" s="1" t="s">
        <v>2</v>
      </c>
      <c r="G3" s="4" t="s">
        <v>239</v>
      </c>
      <c r="H3" s="17">
        <v>1</v>
      </c>
      <c r="I3" s="4" t="s">
        <v>239</v>
      </c>
      <c r="J3" s="4"/>
      <c r="K3" s="4" t="s">
        <v>469</v>
      </c>
      <c r="L3" s="4"/>
      <c r="M3" s="4"/>
      <c r="N3" s="24">
        <v>24.726420000000001</v>
      </c>
      <c r="O3" s="24">
        <v>59.397865000000003</v>
      </c>
      <c r="P3" s="4" t="s">
        <v>15</v>
      </c>
      <c r="Q3" s="4" t="s">
        <v>12</v>
      </c>
      <c r="R3" s="4"/>
      <c r="S3" s="4"/>
      <c r="T3" s="4" t="str">
        <f t="shared" ref="T3:T66" si="0">CONCATENATE(A3," - ",B3," - ",C3," - ",G3," - ",H3)</f>
        <v>PMG - BB -  - Pärnu mnt.186 eraldusribal(uus nimi 186-1), kesklinna suund - 1</v>
      </c>
      <c r="U3" s="4" t="str">
        <f t="shared" ref="U3:U66" si="1">CONCATENATE(A3," - ",B3," - ",G3,)</f>
        <v>PMG - BB - Pärnu mnt.186 eraldusribal(uus nimi 186-1), kesklinna suund</v>
      </c>
      <c r="V3" s="40">
        <v>44562</v>
      </c>
      <c r="W3" s="31"/>
    </row>
    <row r="4" spans="1:23" ht="15" x14ac:dyDescent="0.25">
      <c r="A4" s="4" t="s">
        <v>13</v>
      </c>
      <c r="B4" s="4" t="s">
        <v>12</v>
      </c>
      <c r="C4" s="4"/>
      <c r="D4" s="4"/>
      <c r="E4" s="1" t="s">
        <v>0</v>
      </c>
      <c r="F4" s="1" t="s">
        <v>2</v>
      </c>
      <c r="G4" s="4" t="s">
        <v>240</v>
      </c>
      <c r="H4" s="17">
        <v>1</v>
      </c>
      <c r="I4" s="4" t="s">
        <v>240</v>
      </c>
      <c r="J4" s="4"/>
      <c r="K4" s="4" t="s">
        <v>469</v>
      </c>
      <c r="L4" s="4"/>
      <c r="M4" s="4"/>
      <c r="N4" s="24">
        <v>24.726420000000001</v>
      </c>
      <c r="O4" s="24">
        <v>59.397865000000003</v>
      </c>
      <c r="P4" s="4" t="s">
        <v>16</v>
      </c>
      <c r="Q4" s="4" t="s">
        <v>12</v>
      </c>
      <c r="R4" s="4"/>
      <c r="S4" s="4"/>
      <c r="T4" s="4" t="str">
        <f t="shared" si="0"/>
        <v>PMG - BB -  - Pärnu mnt.186 eraldusribal (uus nimi 186-1), kesklinnast - 1</v>
      </c>
      <c r="U4" s="4" t="str">
        <f t="shared" si="1"/>
        <v>PMG - BB - Pärnu mnt.186 eraldusribal (uus nimi 186-1), kesklinnast</v>
      </c>
      <c r="V4" s="40">
        <v>44562</v>
      </c>
      <c r="W4" s="31"/>
    </row>
    <row r="5" spans="1:23" ht="15" x14ac:dyDescent="0.25">
      <c r="A5" s="4" t="s">
        <v>13</v>
      </c>
      <c r="B5" s="4" t="s">
        <v>12</v>
      </c>
      <c r="C5" s="4"/>
      <c r="D5" s="4"/>
      <c r="E5" s="1" t="s">
        <v>0</v>
      </c>
      <c r="F5" s="1" t="s">
        <v>2</v>
      </c>
      <c r="G5" s="4" t="s">
        <v>241</v>
      </c>
      <c r="H5" s="17">
        <v>1</v>
      </c>
      <c r="I5" s="4" t="s">
        <v>241</v>
      </c>
      <c r="J5" s="4"/>
      <c r="K5" s="4" t="s">
        <v>470</v>
      </c>
      <c r="L5" s="4"/>
      <c r="M5" s="4"/>
      <c r="N5" s="24">
        <v>24.725055000000001</v>
      </c>
      <c r="O5" s="24">
        <v>59.395080999999998</v>
      </c>
      <c r="P5" s="4" t="s">
        <v>17</v>
      </c>
      <c r="Q5" s="4" t="s">
        <v>12</v>
      </c>
      <c r="R5" s="4"/>
      <c r="S5" s="4"/>
      <c r="T5" s="4" t="str">
        <f t="shared" si="0"/>
        <v>PMG - BB -  - Pärnu mnt. Amserv, eraldusribal, kesklinna - 1</v>
      </c>
      <c r="U5" s="4" t="str">
        <f t="shared" si="1"/>
        <v>PMG - BB - Pärnu mnt. Amserv, eraldusribal, kesklinna</v>
      </c>
      <c r="V5" s="40">
        <v>44562</v>
      </c>
      <c r="W5" s="31"/>
    </row>
    <row r="6" spans="1:23" ht="15" x14ac:dyDescent="0.25">
      <c r="A6" s="4" t="s">
        <v>13</v>
      </c>
      <c r="B6" s="4" t="s">
        <v>12</v>
      </c>
      <c r="C6" s="4"/>
      <c r="D6" s="4"/>
      <c r="E6" s="1" t="s">
        <v>0</v>
      </c>
      <c r="F6" s="1" t="s">
        <v>2</v>
      </c>
      <c r="G6" s="4" t="s">
        <v>242</v>
      </c>
      <c r="H6" s="17">
        <v>1</v>
      </c>
      <c r="I6" s="4" t="s">
        <v>242</v>
      </c>
      <c r="J6" s="4"/>
      <c r="K6" s="4" t="s">
        <v>470</v>
      </c>
      <c r="L6" s="4"/>
      <c r="M6" s="4"/>
      <c r="N6" s="24">
        <v>24.725055000000001</v>
      </c>
      <c r="O6" s="24">
        <v>59.395080999999998</v>
      </c>
      <c r="P6" s="4" t="s">
        <v>18</v>
      </c>
      <c r="Q6" s="4" t="s">
        <v>12</v>
      </c>
      <c r="R6" s="4"/>
      <c r="S6" s="4"/>
      <c r="T6" s="4" t="str">
        <f t="shared" si="0"/>
        <v>PMG - BB -  - Pärnu mnt. Amserv, eraldusribal, kesklinnast - 1</v>
      </c>
      <c r="U6" s="4" t="str">
        <f t="shared" si="1"/>
        <v>PMG - BB - Pärnu mnt. Amserv, eraldusribal, kesklinnast</v>
      </c>
      <c r="V6" s="40">
        <v>44562</v>
      </c>
      <c r="W6" s="31"/>
    </row>
    <row r="7" spans="1:23" ht="15" x14ac:dyDescent="0.25">
      <c r="A7" s="4" t="s">
        <v>13</v>
      </c>
      <c r="B7" s="4" t="s">
        <v>12</v>
      </c>
      <c r="C7" s="4"/>
      <c r="D7" s="4"/>
      <c r="E7" s="1" t="s">
        <v>0</v>
      </c>
      <c r="F7" s="1" t="s">
        <v>2</v>
      </c>
      <c r="G7" s="4" t="s">
        <v>243</v>
      </c>
      <c r="H7" s="17">
        <v>1</v>
      </c>
      <c r="I7" s="4" t="s">
        <v>243</v>
      </c>
      <c r="J7" s="4"/>
      <c r="K7" s="4" t="s">
        <v>471</v>
      </c>
      <c r="L7" s="4"/>
      <c r="M7" s="4"/>
      <c r="N7" s="24">
        <v>24.729987999999999</v>
      </c>
      <c r="O7" s="24">
        <v>59.403142000000003</v>
      </c>
      <c r="P7" s="4" t="s">
        <v>19</v>
      </c>
      <c r="Q7" s="4" t="s">
        <v>12</v>
      </c>
      <c r="R7" s="4"/>
      <c r="S7" s="4"/>
      <c r="T7" s="4" t="str">
        <f t="shared" si="0"/>
        <v>PMG - BB -  - Pärnu mnt.T9, viadukt, suunaga Mustamäele - 1</v>
      </c>
      <c r="U7" s="4" t="str">
        <f t="shared" si="1"/>
        <v>PMG - BB - Pärnu mnt.T9, viadukt, suunaga Mustamäele</v>
      </c>
      <c r="V7" s="40">
        <v>44562</v>
      </c>
      <c r="W7" s="31"/>
    </row>
    <row r="8" spans="1:23" ht="15" x14ac:dyDescent="0.25">
      <c r="A8" s="4" t="s">
        <v>13</v>
      </c>
      <c r="B8" s="4" t="s">
        <v>12</v>
      </c>
      <c r="C8" s="4"/>
      <c r="D8" s="4"/>
      <c r="E8" s="1" t="s">
        <v>0</v>
      </c>
      <c r="F8" s="1" t="s">
        <v>2</v>
      </c>
      <c r="G8" s="4" t="s">
        <v>244</v>
      </c>
      <c r="H8" s="17">
        <v>1</v>
      </c>
      <c r="I8" s="4" t="s">
        <v>244</v>
      </c>
      <c r="J8" s="4"/>
      <c r="K8" s="4" t="s">
        <v>472</v>
      </c>
      <c r="L8" s="4"/>
      <c r="M8" s="4"/>
      <c r="N8" s="24">
        <v>24.701919</v>
      </c>
      <c r="O8" s="24">
        <v>59.426290000000002</v>
      </c>
      <c r="P8" s="4" t="s">
        <v>20</v>
      </c>
      <c r="Q8" s="4" t="s">
        <v>12</v>
      </c>
      <c r="R8" s="4"/>
      <c r="S8" s="4"/>
      <c r="T8" s="4" t="str">
        <f t="shared" si="0"/>
        <v>PMG - BB -  - Mustamäe tee 19, kesklinna  - 1</v>
      </c>
      <c r="U8" s="4" t="str">
        <f t="shared" si="1"/>
        <v xml:space="preserve">PMG - BB - Mustamäe tee 19, kesklinna </v>
      </c>
      <c r="V8" s="40">
        <v>44562</v>
      </c>
      <c r="W8" s="31"/>
    </row>
    <row r="9" spans="1:23" ht="15" x14ac:dyDescent="0.25">
      <c r="A9" s="4" t="s">
        <v>13</v>
      </c>
      <c r="B9" s="4" t="s">
        <v>12</v>
      </c>
      <c r="C9" s="4"/>
      <c r="D9" s="4"/>
      <c r="E9" s="1" t="s">
        <v>0</v>
      </c>
      <c r="F9" s="1" t="s">
        <v>2</v>
      </c>
      <c r="G9" s="4" t="s">
        <v>245</v>
      </c>
      <c r="H9" s="17">
        <v>1</v>
      </c>
      <c r="I9" s="4" t="s">
        <v>245</v>
      </c>
      <c r="J9" s="4"/>
      <c r="K9" s="4" t="s">
        <v>472</v>
      </c>
      <c r="L9" s="4"/>
      <c r="M9" s="4"/>
      <c r="N9" s="24">
        <v>24.701919</v>
      </c>
      <c r="O9" s="24">
        <v>59.426290000000002</v>
      </c>
      <c r="P9" s="4" t="s">
        <v>21</v>
      </c>
      <c r="Q9" s="4" t="s">
        <v>12</v>
      </c>
      <c r="R9" s="4"/>
      <c r="S9" s="4"/>
      <c r="T9" s="4" t="str">
        <f t="shared" si="0"/>
        <v>PMG - BB -  - Mustamäe tee 19, kesklinnast  - 1</v>
      </c>
      <c r="U9" s="4" t="str">
        <f t="shared" si="1"/>
        <v xml:space="preserve">PMG - BB - Mustamäe tee 19, kesklinnast </v>
      </c>
      <c r="V9" s="40">
        <v>44562</v>
      </c>
      <c r="W9" s="31"/>
    </row>
    <row r="10" spans="1:23" ht="15" x14ac:dyDescent="0.25">
      <c r="A10" s="4" t="s">
        <v>13</v>
      </c>
      <c r="B10" s="4" t="s">
        <v>12</v>
      </c>
      <c r="C10" s="4"/>
      <c r="D10" s="4"/>
      <c r="E10" s="1" t="s">
        <v>0</v>
      </c>
      <c r="F10" s="1" t="s">
        <v>6</v>
      </c>
      <c r="G10" s="4" t="s">
        <v>246</v>
      </c>
      <c r="H10" s="17">
        <v>1</v>
      </c>
      <c r="I10" s="4" t="s">
        <v>246</v>
      </c>
      <c r="J10" s="4"/>
      <c r="K10" s="4" t="s">
        <v>473</v>
      </c>
      <c r="L10" s="4"/>
      <c r="M10" s="4"/>
      <c r="N10" s="24">
        <v>24.703602</v>
      </c>
      <c r="O10" s="24">
        <v>59.428995</v>
      </c>
      <c r="P10" s="4" t="s">
        <v>22</v>
      </c>
      <c r="Q10" s="4" t="s">
        <v>12</v>
      </c>
      <c r="R10" s="4"/>
      <c r="S10" s="4"/>
      <c r="T10" s="4" t="str">
        <f t="shared" si="0"/>
        <v>PMG - BB -  - Mustamäe /Paldiski mnt. rist, suunaga Haaberstisse - 1</v>
      </c>
      <c r="U10" s="4" t="str">
        <f t="shared" si="1"/>
        <v>PMG - BB - Mustamäe /Paldiski mnt. rist, suunaga Haaberstisse</v>
      </c>
      <c r="V10" s="40">
        <v>44562</v>
      </c>
      <c r="W10" s="31"/>
    </row>
    <row r="11" spans="1:23" ht="15" x14ac:dyDescent="0.25">
      <c r="A11" s="4" t="s">
        <v>13</v>
      </c>
      <c r="B11" s="4" t="s">
        <v>12</v>
      </c>
      <c r="C11" s="4"/>
      <c r="D11" s="4"/>
      <c r="E11" s="1" t="s">
        <v>0</v>
      </c>
      <c r="F11" s="1" t="s">
        <v>6</v>
      </c>
      <c r="G11" s="4" t="s">
        <v>247</v>
      </c>
      <c r="H11" s="17">
        <v>1</v>
      </c>
      <c r="I11" s="4" t="s">
        <v>247</v>
      </c>
      <c r="J11" s="4"/>
      <c r="K11" s="4" t="s">
        <v>473</v>
      </c>
      <c r="L11" s="4"/>
      <c r="M11" s="4"/>
      <c r="N11" s="24">
        <v>24.703602</v>
      </c>
      <c r="O11" s="24">
        <v>59.428995</v>
      </c>
      <c r="P11" s="4" t="s">
        <v>23</v>
      </c>
      <c r="Q11" s="4" t="s">
        <v>12</v>
      </c>
      <c r="R11" s="4"/>
      <c r="S11" s="4"/>
      <c r="T11" s="4" t="str">
        <f t="shared" si="0"/>
        <v>PMG - BB -  - Mustamäe/Paldiski mnt. rist suunaga kesklinna - 1</v>
      </c>
      <c r="U11" s="4" t="str">
        <f t="shared" si="1"/>
        <v>PMG - BB - Mustamäe/Paldiski mnt. rist suunaga kesklinna</v>
      </c>
      <c r="V11" s="40">
        <v>44562</v>
      </c>
      <c r="W11" s="31"/>
    </row>
    <row r="12" spans="1:23" ht="15" x14ac:dyDescent="0.25">
      <c r="A12" s="4" t="s">
        <v>13</v>
      </c>
      <c r="B12" s="4" t="s">
        <v>12</v>
      </c>
      <c r="C12" s="4"/>
      <c r="D12" s="4"/>
      <c r="E12" s="1" t="s">
        <v>0</v>
      </c>
      <c r="F12" s="1" t="s">
        <v>6</v>
      </c>
      <c r="G12" s="4" t="s">
        <v>248</v>
      </c>
      <c r="H12" s="17">
        <v>1</v>
      </c>
      <c r="I12" s="4" t="s">
        <v>248</v>
      </c>
      <c r="J12" s="4"/>
      <c r="K12" s="4" t="s">
        <v>474</v>
      </c>
      <c r="L12" s="4"/>
      <c r="M12" s="4"/>
      <c r="N12" s="24">
        <v>24.688469000000001</v>
      </c>
      <c r="O12" s="24">
        <v>59.429639000000002</v>
      </c>
      <c r="P12" s="4" t="s">
        <v>24</v>
      </c>
      <c r="Q12" s="4" t="s">
        <v>12</v>
      </c>
      <c r="R12" s="4"/>
      <c r="S12" s="4"/>
      <c r="T12" s="4" t="str">
        <f t="shared" si="0"/>
        <v>PMG - BB -  - Paldiski mnt 95, kesklinnast. - 1</v>
      </c>
      <c r="U12" s="4" t="str">
        <f t="shared" si="1"/>
        <v>PMG - BB - Paldiski mnt 95, kesklinnast.</v>
      </c>
      <c r="V12" s="40">
        <v>44562</v>
      </c>
      <c r="W12" s="31"/>
    </row>
    <row r="13" spans="1:23" ht="15" x14ac:dyDescent="0.25">
      <c r="A13" s="4" t="s">
        <v>13</v>
      </c>
      <c r="B13" s="4" t="s">
        <v>12</v>
      </c>
      <c r="C13" s="4"/>
      <c r="D13" s="4"/>
      <c r="E13" s="1" t="s">
        <v>0</v>
      </c>
      <c r="F13" s="1" t="s">
        <v>6</v>
      </c>
      <c r="G13" s="4" t="s">
        <v>249</v>
      </c>
      <c r="H13" s="17">
        <v>1</v>
      </c>
      <c r="I13" s="4" t="s">
        <v>249</v>
      </c>
      <c r="J13" s="4"/>
      <c r="K13" s="4" t="s">
        <v>474</v>
      </c>
      <c r="L13" s="4"/>
      <c r="M13" s="4"/>
      <c r="N13" s="24">
        <v>24.688469000000001</v>
      </c>
      <c r="O13" s="24">
        <v>59.429639000000002</v>
      </c>
      <c r="P13" s="4" t="s">
        <v>25</v>
      </c>
      <c r="Q13" s="4" t="s">
        <v>12</v>
      </c>
      <c r="R13" s="4"/>
      <c r="S13" s="4"/>
      <c r="T13" s="4" t="str">
        <f t="shared" si="0"/>
        <v>PMG - BB -  - Paldiski mnt 95, kesklinna - 1</v>
      </c>
      <c r="U13" s="4" t="str">
        <f t="shared" si="1"/>
        <v>PMG - BB - Paldiski mnt 95, kesklinna</v>
      </c>
      <c r="V13" s="40">
        <v>44562</v>
      </c>
      <c r="W13" s="31"/>
    </row>
    <row r="14" spans="1:23" ht="15" x14ac:dyDescent="0.25">
      <c r="A14" s="4" t="s">
        <v>13</v>
      </c>
      <c r="B14" s="4" t="s">
        <v>12</v>
      </c>
      <c r="C14" s="4"/>
      <c r="D14" s="4"/>
      <c r="E14" s="1" t="s">
        <v>0</v>
      </c>
      <c r="F14" s="1" t="s">
        <v>6</v>
      </c>
      <c r="G14" s="4" t="s">
        <v>250</v>
      </c>
      <c r="H14" s="17">
        <v>1</v>
      </c>
      <c r="I14" s="4" t="s">
        <v>250</v>
      </c>
      <c r="J14" s="4"/>
      <c r="K14" s="4" t="s">
        <v>475</v>
      </c>
      <c r="L14" s="4"/>
      <c r="M14" s="4"/>
      <c r="N14" s="24">
        <v>24.687318000000001</v>
      </c>
      <c r="O14" s="24">
        <v>59.429558</v>
      </c>
      <c r="P14" s="4" t="s">
        <v>26</v>
      </c>
      <c r="Q14" s="4" t="s">
        <v>12</v>
      </c>
      <c r="R14" s="4"/>
      <c r="S14" s="4"/>
      <c r="T14" s="4" t="str">
        <f t="shared" si="0"/>
        <v>PMG - BB -  - Paldiski mnt.Humala tn. Ristmik,  eraldusribal, Õismäele linnast - 1</v>
      </c>
      <c r="U14" s="4" t="str">
        <f t="shared" si="1"/>
        <v>PMG - BB - Paldiski mnt.Humala tn. Ristmik,  eraldusribal, Õismäele linnast</v>
      </c>
      <c r="V14" s="40">
        <v>44562</v>
      </c>
      <c r="W14" s="31"/>
    </row>
    <row r="15" spans="1:23" ht="15" x14ac:dyDescent="0.25">
      <c r="A15" s="4" t="s">
        <v>13</v>
      </c>
      <c r="B15" s="4" t="s">
        <v>12</v>
      </c>
      <c r="C15" s="4"/>
      <c r="D15" s="4"/>
      <c r="E15" s="1" t="s">
        <v>0</v>
      </c>
      <c r="F15" s="1" t="s">
        <v>6</v>
      </c>
      <c r="G15" s="4" t="s">
        <v>251</v>
      </c>
      <c r="H15" s="17">
        <v>1</v>
      </c>
      <c r="I15" s="4" t="s">
        <v>251</v>
      </c>
      <c r="J15" s="4"/>
      <c r="K15" s="4" t="s">
        <v>475</v>
      </c>
      <c r="L15" s="4"/>
      <c r="M15" s="4"/>
      <c r="N15" s="24">
        <v>24.687318000000001</v>
      </c>
      <c r="O15" s="24">
        <v>59.429558</v>
      </c>
      <c r="P15" s="4" t="s">
        <v>27</v>
      </c>
      <c r="Q15" s="4" t="s">
        <v>12</v>
      </c>
      <c r="R15" s="4"/>
      <c r="S15" s="4"/>
      <c r="T15" s="4" t="str">
        <f t="shared" si="0"/>
        <v>PMG - BB -  - Paldiski mnt.Humala tn. Ristmik,  eraldusribal, Õismäelt linna - 1</v>
      </c>
      <c r="U15" s="4" t="str">
        <f t="shared" si="1"/>
        <v>PMG - BB - Paldiski mnt.Humala tn. Ristmik,  eraldusribal, Õismäelt linna</v>
      </c>
      <c r="V15" s="40">
        <v>44562</v>
      </c>
      <c r="W15" s="31"/>
    </row>
    <row r="16" spans="1:23" ht="15" x14ac:dyDescent="0.25">
      <c r="A16" s="4" t="s">
        <v>13</v>
      </c>
      <c r="B16" s="4" t="s">
        <v>12</v>
      </c>
      <c r="C16" s="4"/>
      <c r="D16" s="4"/>
      <c r="E16" s="1" t="s">
        <v>0</v>
      </c>
      <c r="F16" s="1" t="s">
        <v>6</v>
      </c>
      <c r="G16" s="4" t="s">
        <v>252</v>
      </c>
      <c r="H16" s="17">
        <v>1</v>
      </c>
      <c r="I16" s="4" t="s">
        <v>252</v>
      </c>
      <c r="J16" s="4"/>
      <c r="K16" s="4" t="s">
        <v>476</v>
      </c>
      <c r="L16" s="4"/>
      <c r="M16" s="4"/>
      <c r="N16" s="24">
        <v>24.685122</v>
      </c>
      <c r="O16" s="24">
        <v>59.429381999999997</v>
      </c>
      <c r="P16" s="4" t="s">
        <v>28</v>
      </c>
      <c r="Q16" s="4" t="s">
        <v>12</v>
      </c>
      <c r="R16" s="4"/>
      <c r="S16" s="4"/>
      <c r="T16" s="4" t="str">
        <f t="shared" si="0"/>
        <v>PMG - BB -  - Paldiski mnt.80, eraldusribal, G4S vastas, suund kesklinnast - 1</v>
      </c>
      <c r="U16" s="4" t="str">
        <f t="shared" si="1"/>
        <v>PMG - BB - Paldiski mnt.80, eraldusribal, G4S vastas, suund kesklinnast</v>
      </c>
      <c r="V16" s="40">
        <v>44562</v>
      </c>
      <c r="W16" s="31"/>
    </row>
    <row r="17" spans="1:23" ht="15" x14ac:dyDescent="0.25">
      <c r="A17" s="4" t="s">
        <v>13</v>
      </c>
      <c r="B17" s="4" t="s">
        <v>12</v>
      </c>
      <c r="C17" s="4"/>
      <c r="D17" s="4"/>
      <c r="E17" s="1" t="s">
        <v>0</v>
      </c>
      <c r="F17" s="1" t="s">
        <v>6</v>
      </c>
      <c r="G17" s="4" t="s">
        <v>253</v>
      </c>
      <c r="H17" s="17">
        <v>1</v>
      </c>
      <c r="I17" s="4" t="s">
        <v>253</v>
      </c>
      <c r="J17" s="4"/>
      <c r="K17" s="4" t="s">
        <v>477</v>
      </c>
      <c r="L17" s="4"/>
      <c r="M17" s="4"/>
      <c r="N17" s="24">
        <v>24.672183</v>
      </c>
      <c r="O17" s="24">
        <v>59.427928000000001</v>
      </c>
      <c r="P17" s="4" t="s">
        <v>29</v>
      </c>
      <c r="Q17" s="4" t="s">
        <v>12</v>
      </c>
      <c r="R17" s="4"/>
      <c r="S17" s="4"/>
      <c r="T17" s="4" t="str">
        <f t="shared" si="0"/>
        <v>PMG - BB -  - Paldiski mnt. 131, eraldusribal, kesklinna  - 1</v>
      </c>
      <c r="U17" s="4" t="str">
        <f t="shared" si="1"/>
        <v xml:space="preserve">PMG - BB - Paldiski mnt. 131, eraldusribal, kesklinna </v>
      </c>
      <c r="V17" s="40">
        <v>44562</v>
      </c>
      <c r="W17" s="31"/>
    </row>
    <row r="18" spans="1:23" ht="15" x14ac:dyDescent="0.25">
      <c r="A18" s="4" t="s">
        <v>13</v>
      </c>
      <c r="B18" s="4" t="s">
        <v>12</v>
      </c>
      <c r="C18" s="4"/>
      <c r="D18" s="4"/>
      <c r="E18" s="1" t="s">
        <v>0</v>
      </c>
      <c r="F18" s="1" t="s">
        <v>6</v>
      </c>
      <c r="G18" s="4" t="s">
        <v>254</v>
      </c>
      <c r="H18" s="17">
        <v>1</v>
      </c>
      <c r="I18" s="4" t="s">
        <v>254</v>
      </c>
      <c r="J18" s="4"/>
      <c r="K18" s="4" t="s">
        <v>477</v>
      </c>
      <c r="L18" s="4"/>
      <c r="M18" s="4"/>
      <c r="N18" s="24">
        <v>24.672183</v>
      </c>
      <c r="O18" s="24">
        <v>59.427928000000001</v>
      </c>
      <c r="P18" s="4" t="s">
        <v>30</v>
      </c>
      <c r="Q18" s="4" t="s">
        <v>12</v>
      </c>
      <c r="R18" s="4"/>
      <c r="S18" s="4"/>
      <c r="T18" s="4" t="str">
        <f t="shared" si="0"/>
        <v>PMG - BB -  - Paldiski mnt. 131, eraldusribal, kesklinnast - 1</v>
      </c>
      <c r="U18" s="4" t="str">
        <f t="shared" si="1"/>
        <v>PMG - BB - Paldiski mnt. 131, eraldusribal, kesklinnast</v>
      </c>
      <c r="V18" s="40">
        <v>44562</v>
      </c>
      <c r="W18" s="31"/>
    </row>
    <row r="19" spans="1:23" ht="15" x14ac:dyDescent="0.25">
      <c r="A19" s="4" t="s">
        <v>13</v>
      </c>
      <c r="B19" s="4" t="s">
        <v>12</v>
      </c>
      <c r="C19" s="4"/>
      <c r="D19" s="4"/>
      <c r="E19" s="1" t="s">
        <v>0</v>
      </c>
      <c r="F19" s="1" t="s">
        <v>6</v>
      </c>
      <c r="G19" s="4" t="s">
        <v>255</v>
      </c>
      <c r="H19" s="17">
        <v>1</v>
      </c>
      <c r="I19" s="4" t="s">
        <v>255</v>
      </c>
      <c r="J19" s="4"/>
      <c r="K19" s="4" t="s">
        <v>478</v>
      </c>
      <c r="L19" s="4"/>
      <c r="M19" s="4"/>
      <c r="N19" s="24">
        <v>24.674226999999998</v>
      </c>
      <c r="O19" s="24">
        <v>59.428145000000001</v>
      </c>
      <c r="P19" s="4" t="s">
        <v>31</v>
      </c>
      <c r="Q19" s="4" t="s">
        <v>12</v>
      </c>
      <c r="R19" s="4"/>
      <c r="S19" s="4"/>
      <c r="T19" s="4" t="str">
        <f t="shared" si="0"/>
        <v>PMG - BB -  - Paldiski mnt. 127, eraldusribal, kesklinna - 1</v>
      </c>
      <c r="U19" s="4" t="str">
        <f t="shared" si="1"/>
        <v>PMG - BB - Paldiski mnt. 127, eraldusribal, kesklinna</v>
      </c>
      <c r="V19" s="40">
        <v>44562</v>
      </c>
      <c r="W19" s="31"/>
    </row>
    <row r="20" spans="1:23" ht="15" x14ac:dyDescent="0.25">
      <c r="A20" s="4" t="s">
        <v>13</v>
      </c>
      <c r="B20" s="4" t="s">
        <v>12</v>
      </c>
      <c r="C20" s="4"/>
      <c r="D20" s="4"/>
      <c r="E20" s="1" t="s">
        <v>0</v>
      </c>
      <c r="F20" s="1" t="s">
        <v>6</v>
      </c>
      <c r="G20" s="4" t="s">
        <v>256</v>
      </c>
      <c r="H20" s="17">
        <v>1</v>
      </c>
      <c r="I20" s="4" t="s">
        <v>256</v>
      </c>
      <c r="J20" s="4"/>
      <c r="K20" s="4" t="s">
        <v>478</v>
      </c>
      <c r="L20" s="4"/>
      <c r="M20" s="4"/>
      <c r="N20" s="24">
        <v>24.674226999999998</v>
      </c>
      <c r="O20" s="24">
        <v>59.428145000000001</v>
      </c>
      <c r="P20" s="4" t="s">
        <v>32</v>
      </c>
      <c r="Q20" s="4" t="s">
        <v>12</v>
      </c>
      <c r="R20" s="4"/>
      <c r="S20" s="4"/>
      <c r="T20" s="4" t="str">
        <f t="shared" si="0"/>
        <v>PMG - BB -  - Paldiski mnt. 127, eraldusribal, kesklinnast - 1</v>
      </c>
      <c r="U20" s="4" t="str">
        <f t="shared" si="1"/>
        <v>PMG - BB - Paldiski mnt. 127, eraldusribal, kesklinnast</v>
      </c>
      <c r="V20" s="40">
        <v>44562</v>
      </c>
      <c r="W20" s="31"/>
    </row>
    <row r="21" spans="1:23" ht="15" x14ac:dyDescent="0.25">
      <c r="A21" s="4" t="s">
        <v>13</v>
      </c>
      <c r="B21" s="4" t="s">
        <v>12</v>
      </c>
      <c r="C21" s="4"/>
      <c r="D21" s="4"/>
      <c r="E21" s="1" t="s">
        <v>0</v>
      </c>
      <c r="F21" s="1" t="s">
        <v>6</v>
      </c>
      <c r="G21" s="4" t="s">
        <v>257</v>
      </c>
      <c r="H21" s="17">
        <v>1</v>
      </c>
      <c r="I21" s="4" t="s">
        <v>257</v>
      </c>
      <c r="J21" s="4"/>
      <c r="K21" s="4" t="s">
        <v>479</v>
      </c>
      <c r="L21" s="4"/>
      <c r="M21" s="4"/>
      <c r="N21" s="24">
        <v>24.668025</v>
      </c>
      <c r="O21" s="24">
        <v>59.427686000000001</v>
      </c>
      <c r="P21" s="4" t="s">
        <v>33</v>
      </c>
      <c r="Q21" s="4" t="s">
        <v>12</v>
      </c>
      <c r="R21" s="4"/>
      <c r="S21" s="4"/>
      <c r="T21" s="4" t="str">
        <f t="shared" si="0"/>
        <v>PMG - BB -  - Paldiski mnt 94a, eraldusribal, kesklinnast                          - 1</v>
      </c>
      <c r="U21" s="4" t="str">
        <f t="shared" si="1"/>
        <v xml:space="preserve">PMG - BB - Paldiski mnt 94a, eraldusribal, kesklinnast                         </v>
      </c>
      <c r="V21" s="40">
        <v>44562</v>
      </c>
      <c r="W21" s="31"/>
    </row>
    <row r="22" spans="1:23" ht="15" x14ac:dyDescent="0.25">
      <c r="A22" s="4" t="s">
        <v>13</v>
      </c>
      <c r="B22" s="4" t="s">
        <v>12</v>
      </c>
      <c r="C22" s="4"/>
      <c r="D22" s="4"/>
      <c r="E22" s="1" t="s">
        <v>0</v>
      </c>
      <c r="F22" s="1" t="s">
        <v>6</v>
      </c>
      <c r="G22" s="4" t="s">
        <v>258</v>
      </c>
      <c r="H22" s="17">
        <v>1</v>
      </c>
      <c r="I22" s="4" t="s">
        <v>258</v>
      </c>
      <c r="J22" s="4"/>
      <c r="K22" s="4" t="s">
        <v>479</v>
      </c>
      <c r="L22" s="4"/>
      <c r="M22" s="4"/>
      <c r="N22" s="24">
        <v>24.668025</v>
      </c>
      <c r="O22" s="24">
        <v>59.427686000000001</v>
      </c>
      <c r="P22" s="4" t="s">
        <v>34</v>
      </c>
      <c r="Q22" s="4" t="s">
        <v>12</v>
      </c>
      <c r="R22" s="4"/>
      <c r="S22" s="4"/>
      <c r="T22" s="4" t="str">
        <f t="shared" si="0"/>
        <v>PMG - BB -  - Paldiski mnt 94a, eraldusribal, kesklinna                            - 1</v>
      </c>
      <c r="U22" s="4" t="str">
        <f t="shared" si="1"/>
        <v xml:space="preserve">PMG - BB - Paldiski mnt 94a, eraldusribal, kesklinna                           </v>
      </c>
      <c r="V22" s="40">
        <v>44562</v>
      </c>
      <c r="W22" s="31"/>
    </row>
    <row r="23" spans="1:23" ht="15" x14ac:dyDescent="0.25">
      <c r="A23" s="4" t="s">
        <v>13</v>
      </c>
      <c r="B23" s="4" t="s">
        <v>12</v>
      </c>
      <c r="C23" s="4"/>
      <c r="D23" s="4"/>
      <c r="E23" s="1" t="s">
        <v>0</v>
      </c>
      <c r="F23" s="1" t="s">
        <v>6</v>
      </c>
      <c r="G23" s="4" t="s">
        <v>259</v>
      </c>
      <c r="H23" s="17">
        <v>1</v>
      </c>
      <c r="I23" s="4" t="s">
        <v>259</v>
      </c>
      <c r="J23" s="4"/>
      <c r="K23" s="4" t="s">
        <v>480</v>
      </c>
      <c r="L23" s="4"/>
      <c r="M23" s="4"/>
      <c r="N23" s="24">
        <v>24.665018</v>
      </c>
      <c r="O23" s="24">
        <v>59.427339000000003</v>
      </c>
      <c r="P23" s="4" t="s">
        <v>35</v>
      </c>
      <c r="Q23" s="4" t="s">
        <v>12</v>
      </c>
      <c r="R23" s="4"/>
      <c r="S23" s="4"/>
      <c r="T23" s="4" t="str">
        <f t="shared" si="0"/>
        <v>PMG - BB -  - Paldiski mnt 96, eraldusribal, kesklinnast                           - 1</v>
      </c>
      <c r="U23" s="4" t="str">
        <f t="shared" si="1"/>
        <v xml:space="preserve">PMG - BB - Paldiski mnt 96, eraldusribal, kesklinnast                          </v>
      </c>
      <c r="V23" s="40">
        <v>44562</v>
      </c>
      <c r="W23" s="31"/>
    </row>
    <row r="24" spans="1:23" ht="15" x14ac:dyDescent="0.25">
      <c r="A24" s="4" t="s">
        <v>13</v>
      </c>
      <c r="B24" s="4" t="s">
        <v>12</v>
      </c>
      <c r="C24" s="4"/>
      <c r="D24" s="4"/>
      <c r="E24" s="1" t="s">
        <v>0</v>
      </c>
      <c r="F24" s="1" t="s">
        <v>6</v>
      </c>
      <c r="G24" s="4" t="s">
        <v>260</v>
      </c>
      <c r="H24" s="17">
        <v>1</v>
      </c>
      <c r="I24" s="4" t="s">
        <v>260</v>
      </c>
      <c r="J24" s="4"/>
      <c r="K24" s="4" t="s">
        <v>480</v>
      </c>
      <c r="L24" s="4"/>
      <c r="M24" s="4"/>
      <c r="N24" s="24">
        <v>24.665018</v>
      </c>
      <c r="O24" s="24">
        <v>59.427339000000003</v>
      </c>
      <c r="P24" s="4" t="s">
        <v>36</v>
      </c>
      <c r="Q24" s="4" t="s">
        <v>12</v>
      </c>
      <c r="R24" s="4"/>
      <c r="S24" s="4"/>
      <c r="T24" s="4" t="str">
        <f t="shared" si="0"/>
        <v>PMG - BB -  - Paldiski mnt 96, eraldusribal, kesklinna                              - 1</v>
      </c>
      <c r="U24" s="4" t="str">
        <f t="shared" si="1"/>
        <v xml:space="preserve">PMG - BB - Paldiski mnt 96, eraldusribal, kesklinna                             </v>
      </c>
      <c r="V24" s="40">
        <v>44562</v>
      </c>
      <c r="W24" s="31"/>
    </row>
    <row r="25" spans="1:23" ht="15" x14ac:dyDescent="0.25">
      <c r="A25" s="4" t="s">
        <v>13</v>
      </c>
      <c r="B25" s="4" t="s">
        <v>12</v>
      </c>
      <c r="C25" s="4"/>
      <c r="D25" s="4"/>
      <c r="E25" s="1" t="s">
        <v>0</v>
      </c>
      <c r="F25" s="1" t="s">
        <v>6</v>
      </c>
      <c r="G25" s="4" t="s">
        <v>261</v>
      </c>
      <c r="H25" s="17">
        <v>1</v>
      </c>
      <c r="I25" s="4" t="s">
        <v>261</v>
      </c>
      <c r="J25" s="4"/>
      <c r="K25" s="4" t="s">
        <v>481</v>
      </c>
      <c r="L25" s="4"/>
      <c r="M25" s="4"/>
      <c r="N25" s="24">
        <v>24.662884999999999</v>
      </c>
      <c r="O25" s="24">
        <v>59.427089000000002</v>
      </c>
      <c r="P25" s="4" t="s">
        <v>37</v>
      </c>
      <c r="Q25" s="4" t="s">
        <v>12</v>
      </c>
      <c r="R25" s="4"/>
      <c r="S25" s="4"/>
      <c r="T25" s="4" t="str">
        <f t="shared" si="0"/>
        <v>PMG - BB -  - Paldiski mnt 96a, eraldusribal, kesklinnast                         - 1</v>
      </c>
      <c r="U25" s="4" t="str">
        <f t="shared" si="1"/>
        <v xml:space="preserve">PMG - BB - Paldiski mnt 96a, eraldusribal, kesklinnast                        </v>
      </c>
      <c r="V25" s="40">
        <v>44562</v>
      </c>
      <c r="W25" s="31"/>
    </row>
    <row r="26" spans="1:23" ht="15" x14ac:dyDescent="0.25">
      <c r="A26" s="4" t="s">
        <v>13</v>
      </c>
      <c r="B26" s="4" t="s">
        <v>12</v>
      </c>
      <c r="C26" s="4"/>
      <c r="D26" s="4"/>
      <c r="E26" s="1" t="s">
        <v>0</v>
      </c>
      <c r="F26" s="1" t="s">
        <v>6</v>
      </c>
      <c r="G26" s="4" t="s">
        <v>262</v>
      </c>
      <c r="H26" s="17">
        <v>1</v>
      </c>
      <c r="I26" s="4" t="s">
        <v>262</v>
      </c>
      <c r="J26" s="4"/>
      <c r="K26" s="4" t="s">
        <v>481</v>
      </c>
      <c r="L26" s="4"/>
      <c r="M26" s="4"/>
      <c r="N26" s="24">
        <v>24.662884999999999</v>
      </c>
      <c r="O26" s="24">
        <v>59.427089000000002</v>
      </c>
      <c r="P26" s="4" t="s">
        <v>38</v>
      </c>
      <c r="Q26" s="4" t="s">
        <v>12</v>
      </c>
      <c r="R26" s="4"/>
      <c r="S26" s="4"/>
      <c r="T26" s="4" t="str">
        <f t="shared" si="0"/>
        <v>PMG - BB -  - Paldiski mnt 96a, eraldusribal, kesklinna                            - 1</v>
      </c>
      <c r="U26" s="4" t="str">
        <f t="shared" si="1"/>
        <v xml:space="preserve">PMG - BB - Paldiski mnt 96a, eraldusribal, kesklinna                           </v>
      </c>
      <c r="V26" s="40">
        <v>44562</v>
      </c>
      <c r="W26" s="31"/>
    </row>
    <row r="27" spans="1:23" ht="15" x14ac:dyDescent="0.25">
      <c r="A27" s="4" t="s">
        <v>13</v>
      </c>
      <c r="B27" s="4" t="s">
        <v>12</v>
      </c>
      <c r="C27" s="4"/>
      <c r="D27" s="4"/>
      <c r="E27" s="1" t="s">
        <v>0</v>
      </c>
      <c r="F27" s="1" t="s">
        <v>6</v>
      </c>
      <c r="G27" s="4" t="s">
        <v>263</v>
      </c>
      <c r="H27" s="17">
        <v>1</v>
      </c>
      <c r="I27" s="4" t="s">
        <v>263</v>
      </c>
      <c r="J27" s="4"/>
      <c r="K27" s="4" t="s">
        <v>482</v>
      </c>
      <c r="L27" s="4"/>
      <c r="M27" s="4"/>
      <c r="N27" s="24">
        <v>24.660703000000002</v>
      </c>
      <c r="O27" s="24">
        <v>59.426769999999998</v>
      </c>
      <c r="P27" s="4" t="s">
        <v>39</v>
      </c>
      <c r="Q27" s="4" t="s">
        <v>12</v>
      </c>
      <c r="R27" s="4"/>
      <c r="S27" s="4"/>
      <c r="T27" s="4" t="str">
        <f t="shared" si="0"/>
        <v>PMG - BB -  - Paldiski mnt. Neste vastas, eraldusribal, kesklinna - 1</v>
      </c>
      <c r="U27" s="4" t="str">
        <f t="shared" si="1"/>
        <v>PMG - BB - Paldiski mnt. Neste vastas, eraldusribal, kesklinna</v>
      </c>
      <c r="V27" s="40">
        <v>44562</v>
      </c>
      <c r="W27" s="31"/>
    </row>
    <row r="28" spans="1:23" ht="15" x14ac:dyDescent="0.25">
      <c r="A28" s="4" t="s">
        <v>13</v>
      </c>
      <c r="B28" s="4" t="s">
        <v>12</v>
      </c>
      <c r="C28" s="4"/>
      <c r="D28" s="4"/>
      <c r="E28" s="1" t="s">
        <v>0</v>
      </c>
      <c r="F28" s="1" t="s">
        <v>6</v>
      </c>
      <c r="G28" s="4" t="s">
        <v>264</v>
      </c>
      <c r="H28" s="17">
        <v>1</v>
      </c>
      <c r="I28" s="4" t="s">
        <v>264</v>
      </c>
      <c r="J28" s="4"/>
      <c r="K28" s="4" t="s">
        <v>482</v>
      </c>
      <c r="L28" s="4"/>
      <c r="M28" s="4"/>
      <c r="N28" s="24">
        <v>24.660703000000002</v>
      </c>
      <c r="O28" s="24">
        <v>59.426769999999998</v>
      </c>
      <c r="P28" s="4" t="s">
        <v>40</v>
      </c>
      <c r="Q28" s="4" t="s">
        <v>12</v>
      </c>
      <c r="R28" s="4"/>
      <c r="S28" s="4"/>
      <c r="T28" s="4" t="str">
        <f t="shared" si="0"/>
        <v>PMG - BB -  - Paldiski mnt. Neste vastas, eraldusribal, kesklinnast - 1</v>
      </c>
      <c r="U28" s="4" t="str">
        <f t="shared" si="1"/>
        <v>PMG - BB - Paldiski mnt. Neste vastas, eraldusribal, kesklinnast</v>
      </c>
      <c r="V28" s="40">
        <v>44562</v>
      </c>
      <c r="W28" s="31"/>
    </row>
    <row r="29" spans="1:23" ht="15" x14ac:dyDescent="0.25">
      <c r="A29" s="4" t="s">
        <v>13</v>
      </c>
      <c r="B29" s="4" t="s">
        <v>12</v>
      </c>
      <c r="C29" s="4"/>
      <c r="D29" s="4"/>
      <c r="E29" s="1" t="s">
        <v>0</v>
      </c>
      <c r="F29" s="1" t="s">
        <v>6</v>
      </c>
      <c r="G29" s="4" t="s">
        <v>265</v>
      </c>
      <c r="H29" s="17">
        <v>1</v>
      </c>
      <c r="I29" s="4" t="s">
        <v>265</v>
      </c>
      <c r="J29" s="4"/>
      <c r="K29" s="4" t="s">
        <v>483</v>
      </c>
      <c r="L29" s="4"/>
      <c r="M29" s="4"/>
      <c r="N29" s="24">
        <v>24.657788</v>
      </c>
      <c r="O29" s="24">
        <v>59.426195999999997</v>
      </c>
      <c r="P29" s="4" t="s">
        <v>41</v>
      </c>
      <c r="Q29" s="4" t="s">
        <v>12</v>
      </c>
      <c r="R29" s="4"/>
      <c r="S29" s="4"/>
      <c r="T29" s="4" t="str">
        <f t="shared" si="0"/>
        <v>PMG - BB -  - Paldiski mnt. 100a, eraldusribal, kesklinnast                       - 1</v>
      </c>
      <c r="U29" s="4" t="str">
        <f t="shared" si="1"/>
        <v xml:space="preserve">PMG - BB - Paldiski mnt. 100a, eraldusribal, kesklinnast                      </v>
      </c>
      <c r="V29" s="40">
        <v>44562</v>
      </c>
      <c r="W29" s="31"/>
    </row>
    <row r="30" spans="1:23" ht="15" x14ac:dyDescent="0.25">
      <c r="A30" s="4" t="s">
        <v>13</v>
      </c>
      <c r="B30" s="4" t="s">
        <v>12</v>
      </c>
      <c r="C30" s="4"/>
      <c r="D30" s="4"/>
      <c r="E30" s="1" t="s">
        <v>0</v>
      </c>
      <c r="F30" s="1" t="s">
        <v>6</v>
      </c>
      <c r="G30" s="4" t="s">
        <v>266</v>
      </c>
      <c r="H30" s="17">
        <v>1</v>
      </c>
      <c r="I30" s="4" t="s">
        <v>266</v>
      </c>
      <c r="J30" s="4"/>
      <c r="K30" s="4" t="s">
        <v>483</v>
      </c>
      <c r="L30" s="4"/>
      <c r="M30" s="4"/>
      <c r="N30" s="24">
        <v>24.657788</v>
      </c>
      <c r="O30" s="24">
        <v>59.426195999999997</v>
      </c>
      <c r="P30" s="4" t="s">
        <v>42</v>
      </c>
      <c r="Q30" s="4" t="s">
        <v>12</v>
      </c>
      <c r="R30" s="4"/>
      <c r="S30" s="4"/>
      <c r="T30" s="4" t="str">
        <f t="shared" si="0"/>
        <v>PMG - BB -  - Paldiski mnt. 100a, eraldusribal, kesklinna                        - 1</v>
      </c>
      <c r="U30" s="4" t="str">
        <f t="shared" si="1"/>
        <v xml:space="preserve">PMG - BB - Paldiski mnt. 100a, eraldusribal, kesklinna                       </v>
      </c>
      <c r="V30" s="40">
        <v>44562</v>
      </c>
      <c r="W30" s="31"/>
    </row>
    <row r="31" spans="1:23" ht="15" x14ac:dyDescent="0.25">
      <c r="A31" s="4" t="s">
        <v>13</v>
      </c>
      <c r="B31" s="4" t="s">
        <v>12</v>
      </c>
      <c r="C31" s="4"/>
      <c r="D31" s="4"/>
      <c r="E31" s="1" t="s">
        <v>0</v>
      </c>
      <c r="F31" s="1" t="s">
        <v>6</v>
      </c>
      <c r="G31" s="4" t="s">
        <v>267</v>
      </c>
      <c r="H31" s="17">
        <v>1</v>
      </c>
      <c r="I31" s="4" t="s">
        <v>267</v>
      </c>
      <c r="J31" s="4"/>
      <c r="K31" s="4" t="s">
        <v>484</v>
      </c>
      <c r="L31" s="4"/>
      <c r="M31" s="4"/>
      <c r="N31" s="24">
        <v>24.653808000000001</v>
      </c>
      <c r="O31" s="24">
        <v>59.424985</v>
      </c>
      <c r="P31" s="4" t="s">
        <v>43</v>
      </c>
      <c r="Q31" s="4" t="s">
        <v>12</v>
      </c>
      <c r="R31" s="4"/>
      <c r="S31" s="4"/>
      <c r="T31" s="4" t="str">
        <f t="shared" si="0"/>
        <v>PMG - BB -  - Paldiski mnt.ROCCA AL MARE keskuse vastas, kesklinna - 1</v>
      </c>
      <c r="U31" s="4" t="str">
        <f t="shared" si="1"/>
        <v>PMG - BB - Paldiski mnt.ROCCA AL MARE keskuse vastas, kesklinna</v>
      </c>
      <c r="V31" s="40">
        <v>44562</v>
      </c>
      <c r="W31" s="31"/>
    </row>
    <row r="32" spans="1:23" ht="15" x14ac:dyDescent="0.25">
      <c r="A32" s="4" t="s">
        <v>13</v>
      </c>
      <c r="B32" s="4" t="s">
        <v>12</v>
      </c>
      <c r="C32" s="4"/>
      <c r="D32" s="4"/>
      <c r="E32" s="1" t="s">
        <v>0</v>
      </c>
      <c r="F32" s="1" t="s">
        <v>6</v>
      </c>
      <c r="G32" s="4" t="s">
        <v>268</v>
      </c>
      <c r="H32" s="17">
        <v>1</v>
      </c>
      <c r="I32" s="4" t="s">
        <v>268</v>
      </c>
      <c r="J32" s="4"/>
      <c r="K32" s="4" t="s">
        <v>484</v>
      </c>
      <c r="L32" s="4"/>
      <c r="M32" s="4"/>
      <c r="N32" s="24">
        <v>24.653808000000001</v>
      </c>
      <c r="O32" s="24">
        <v>59.424985</v>
      </c>
      <c r="P32" s="4" t="s">
        <v>44</v>
      </c>
      <c r="Q32" s="4" t="s">
        <v>12</v>
      </c>
      <c r="R32" s="4"/>
      <c r="S32" s="4"/>
      <c r="T32" s="4" t="str">
        <f t="shared" si="0"/>
        <v>PMG - BB -  - Paldiski mnt.ROCCA AL MARE keskuse vastas, Õismäele - 1</v>
      </c>
      <c r="U32" s="4" t="str">
        <f t="shared" si="1"/>
        <v>PMG - BB - Paldiski mnt.ROCCA AL MARE keskuse vastas, Õismäele</v>
      </c>
      <c r="V32" s="40">
        <v>44562</v>
      </c>
      <c r="W32" s="31"/>
    </row>
    <row r="33" spans="1:23" ht="15" x14ac:dyDescent="0.25">
      <c r="A33" s="4" t="s">
        <v>13</v>
      </c>
      <c r="B33" s="4" t="s">
        <v>12</v>
      </c>
      <c r="C33" s="4"/>
      <c r="D33" s="4"/>
      <c r="E33" s="1" t="s">
        <v>0</v>
      </c>
      <c r="F33" s="1" t="s">
        <v>6</v>
      </c>
      <c r="G33" s="4" t="s">
        <v>269</v>
      </c>
      <c r="H33" s="17">
        <v>1</v>
      </c>
      <c r="I33" s="4" t="s">
        <v>269</v>
      </c>
      <c r="J33" s="4"/>
      <c r="K33" s="4" t="s">
        <v>480</v>
      </c>
      <c r="L33" s="4"/>
      <c r="M33" s="4"/>
      <c r="N33" s="24">
        <v>24.666347999999999</v>
      </c>
      <c r="O33" s="24">
        <v>59.427300000000002</v>
      </c>
      <c r="P33" s="4" t="s">
        <v>45</v>
      </c>
      <c r="Q33" s="4" t="s">
        <v>12</v>
      </c>
      <c r="R33" s="4"/>
      <c r="S33" s="4"/>
      <c r="T33" s="4" t="str">
        <f t="shared" si="0"/>
        <v>PMG - BB -  - Paldiski mnt.Status Clubiga kohakuti, kesklinna - 1</v>
      </c>
      <c r="U33" s="4" t="str">
        <f t="shared" si="1"/>
        <v>PMG - BB - Paldiski mnt.Status Clubiga kohakuti, kesklinna</v>
      </c>
      <c r="V33" s="40">
        <v>44562</v>
      </c>
      <c r="W33" s="31"/>
    </row>
    <row r="34" spans="1:23" ht="15" x14ac:dyDescent="0.25">
      <c r="A34" s="4" t="s">
        <v>13</v>
      </c>
      <c r="B34" s="4" t="s">
        <v>12</v>
      </c>
      <c r="C34" s="4"/>
      <c r="D34" s="4"/>
      <c r="E34" s="1" t="s">
        <v>0</v>
      </c>
      <c r="F34" s="1" t="s">
        <v>6</v>
      </c>
      <c r="G34" s="4" t="s">
        <v>270</v>
      </c>
      <c r="H34" s="17">
        <v>1</v>
      </c>
      <c r="I34" s="4" t="s">
        <v>270</v>
      </c>
      <c r="J34" s="4"/>
      <c r="K34" s="4" t="s">
        <v>480</v>
      </c>
      <c r="L34" s="4"/>
      <c r="M34" s="4"/>
      <c r="N34" s="24">
        <v>24.666347999999999</v>
      </c>
      <c r="O34" s="24">
        <v>59.427300000000002</v>
      </c>
      <c r="P34" s="4" t="s">
        <v>46</v>
      </c>
      <c r="Q34" s="4" t="s">
        <v>12</v>
      </c>
      <c r="R34" s="4"/>
      <c r="S34" s="4"/>
      <c r="T34" s="4" t="str">
        <f t="shared" si="0"/>
        <v>PMG - BB -  - Paldiski mnt.Status Clubiga kohakuti, kesklinnast - 1</v>
      </c>
      <c r="U34" s="4" t="str">
        <f t="shared" si="1"/>
        <v>PMG - BB - Paldiski mnt.Status Clubiga kohakuti, kesklinnast</v>
      </c>
      <c r="V34" s="40">
        <v>44562</v>
      </c>
      <c r="W34" s="31"/>
    </row>
    <row r="35" spans="1:23" ht="15" x14ac:dyDescent="0.25">
      <c r="A35" s="4" t="s">
        <v>13</v>
      </c>
      <c r="B35" s="4" t="s">
        <v>12</v>
      </c>
      <c r="C35" s="4"/>
      <c r="D35" s="4"/>
      <c r="E35" s="1" t="s">
        <v>0</v>
      </c>
      <c r="F35" s="1" t="s">
        <v>6</v>
      </c>
      <c r="G35" s="4" t="s">
        <v>271</v>
      </c>
      <c r="H35" s="17">
        <v>1</v>
      </c>
      <c r="I35" s="4" t="s">
        <v>271</v>
      </c>
      <c r="J35" s="4"/>
      <c r="K35" s="4" t="s">
        <v>485</v>
      </c>
      <c r="L35" s="4"/>
      <c r="M35" s="4"/>
      <c r="N35" s="24">
        <v>24.66713</v>
      </c>
      <c r="O35" s="24">
        <v>59.427404000000003</v>
      </c>
      <c r="P35" s="4" t="s">
        <v>47</v>
      </c>
      <c r="Q35" s="4" t="s">
        <v>12</v>
      </c>
      <c r="R35" s="4"/>
      <c r="S35" s="4"/>
      <c r="T35" s="4" t="str">
        <f t="shared" si="0"/>
        <v>PMG - BB -  - Paldiski mnt. Vabaóhumuuseumi tee juures, kesklinna   - 1</v>
      </c>
      <c r="U35" s="4" t="str">
        <f t="shared" si="1"/>
        <v xml:space="preserve">PMG - BB - Paldiski mnt. Vabaóhumuuseumi tee juures, kesklinna  </v>
      </c>
      <c r="V35" s="40">
        <v>44562</v>
      </c>
      <c r="W35" s="31"/>
    </row>
    <row r="36" spans="1:23" ht="15" x14ac:dyDescent="0.25">
      <c r="A36" s="4" t="s">
        <v>13</v>
      </c>
      <c r="B36" s="4" t="s">
        <v>12</v>
      </c>
      <c r="C36" s="4"/>
      <c r="D36" s="4"/>
      <c r="E36" s="1" t="s">
        <v>0</v>
      </c>
      <c r="F36" s="1" t="s">
        <v>6</v>
      </c>
      <c r="G36" s="4" t="s">
        <v>272</v>
      </c>
      <c r="H36" s="17">
        <v>1</v>
      </c>
      <c r="I36" s="4" t="s">
        <v>272</v>
      </c>
      <c r="J36" s="4"/>
      <c r="K36" s="4" t="s">
        <v>485</v>
      </c>
      <c r="L36" s="4"/>
      <c r="M36" s="4"/>
      <c r="N36" s="24">
        <v>24.66713</v>
      </c>
      <c r="O36" s="24">
        <v>59.427404000000003</v>
      </c>
      <c r="P36" s="4" t="s">
        <v>48</v>
      </c>
      <c r="Q36" s="4" t="s">
        <v>12</v>
      </c>
      <c r="R36" s="4"/>
      <c r="S36" s="4"/>
      <c r="T36" s="4" t="str">
        <f t="shared" si="0"/>
        <v>PMG - BB -  - Paldiski mnt. Vabaóhumuuseumi tee juures, kesklinnast  - 1</v>
      </c>
      <c r="U36" s="4" t="str">
        <f t="shared" si="1"/>
        <v xml:space="preserve">PMG - BB - Paldiski mnt. Vabaóhumuuseumi tee juures, kesklinnast </v>
      </c>
      <c r="V36" s="40">
        <v>44562</v>
      </c>
      <c r="W36" s="31"/>
    </row>
    <row r="37" spans="1:23" ht="15" x14ac:dyDescent="0.25">
      <c r="A37" s="4" t="s">
        <v>13</v>
      </c>
      <c r="B37" s="4" t="s">
        <v>12</v>
      </c>
      <c r="C37" s="4"/>
      <c r="D37" s="4"/>
      <c r="E37" s="1" t="s">
        <v>0</v>
      </c>
      <c r="F37" s="1" t="s">
        <v>6</v>
      </c>
      <c r="G37" s="4" t="s">
        <v>273</v>
      </c>
      <c r="H37" s="17">
        <v>1</v>
      </c>
      <c r="I37" s="4" t="s">
        <v>273</v>
      </c>
      <c r="J37" s="4"/>
      <c r="K37" s="4" t="s">
        <v>486</v>
      </c>
      <c r="L37" s="4"/>
      <c r="M37" s="4"/>
      <c r="N37" s="24">
        <v>24.648719</v>
      </c>
      <c r="O37" s="24">
        <v>59.424182000000002</v>
      </c>
      <c r="P37" s="4" t="s">
        <v>49</v>
      </c>
      <c r="Q37" s="4" t="s">
        <v>12</v>
      </c>
      <c r="R37" s="4"/>
      <c r="S37" s="4"/>
      <c r="T37" s="4" t="str">
        <f t="shared" si="0"/>
        <v>PMG - BB -  - Paldiski mnt.102/ Saku Suurhalli ees suund linnast välja - 1</v>
      </c>
      <c r="U37" s="4" t="str">
        <f t="shared" si="1"/>
        <v>PMG - BB - Paldiski mnt.102/ Saku Suurhalli ees suund linnast välja</v>
      </c>
      <c r="V37" s="40">
        <v>44562</v>
      </c>
      <c r="W37" s="31"/>
    </row>
    <row r="38" spans="1:23" ht="15" x14ac:dyDescent="0.25">
      <c r="A38" s="4" t="s">
        <v>13</v>
      </c>
      <c r="B38" s="4" t="s">
        <v>12</v>
      </c>
      <c r="C38" s="4"/>
      <c r="D38" s="4"/>
      <c r="E38" s="1" t="s">
        <v>0</v>
      </c>
      <c r="F38" s="1" t="s">
        <v>6</v>
      </c>
      <c r="G38" s="4" t="s">
        <v>274</v>
      </c>
      <c r="H38" s="17">
        <v>1</v>
      </c>
      <c r="I38" s="4" t="s">
        <v>274</v>
      </c>
      <c r="J38" s="4"/>
      <c r="K38" s="4" t="s">
        <v>487</v>
      </c>
      <c r="L38" s="4"/>
      <c r="M38" s="4"/>
      <c r="N38" s="24">
        <v>24.641901000000001</v>
      </c>
      <c r="O38" s="24">
        <v>59.424188999999998</v>
      </c>
      <c r="P38" s="4" t="s">
        <v>50</v>
      </c>
      <c r="Q38" s="4" t="s">
        <v>12</v>
      </c>
      <c r="R38" s="4"/>
      <c r="S38" s="4"/>
      <c r="T38" s="4" t="str">
        <f t="shared" si="0"/>
        <v>PMG - BB -  - Rannamõisa tee 1a, eraldusribal, Arigato, suund kesklinnast - 1</v>
      </c>
      <c r="U38" s="4" t="str">
        <f t="shared" si="1"/>
        <v>PMG - BB - Rannamõisa tee 1a, eraldusribal, Arigato, suund kesklinnast</v>
      </c>
      <c r="V38" s="40">
        <v>44562</v>
      </c>
      <c r="W38" s="31"/>
    </row>
    <row r="39" spans="1:23" ht="15" x14ac:dyDescent="0.25">
      <c r="A39" s="4" t="s">
        <v>13</v>
      </c>
      <c r="B39" s="4" t="s">
        <v>12</v>
      </c>
      <c r="C39" s="4"/>
      <c r="D39" s="4"/>
      <c r="E39" s="1" t="s">
        <v>0</v>
      </c>
      <c r="F39" s="1" t="s">
        <v>6</v>
      </c>
      <c r="G39" s="4" t="s">
        <v>275</v>
      </c>
      <c r="H39" s="17">
        <v>1</v>
      </c>
      <c r="I39" s="4" t="s">
        <v>275</v>
      </c>
      <c r="J39" s="4"/>
      <c r="K39" s="4" t="s">
        <v>487</v>
      </c>
      <c r="L39" s="4"/>
      <c r="M39" s="4"/>
      <c r="N39" s="24">
        <v>24.641901000000001</v>
      </c>
      <c r="O39" s="24">
        <v>59.424188999999998</v>
      </c>
      <c r="P39" s="4" t="s">
        <v>51</v>
      </c>
      <c r="Q39" s="4" t="s">
        <v>12</v>
      </c>
      <c r="R39" s="4"/>
      <c r="S39" s="4"/>
      <c r="T39" s="4" t="str">
        <f t="shared" si="0"/>
        <v>PMG - BB -  - Rannamõisa tee 1a, eraldusribal, Arigato, suund kesklinna - 1</v>
      </c>
      <c r="U39" s="4" t="str">
        <f t="shared" si="1"/>
        <v>PMG - BB - Rannamõisa tee 1a, eraldusribal, Arigato, suund kesklinna</v>
      </c>
      <c r="V39" s="40">
        <v>44562</v>
      </c>
      <c r="W39" s="31"/>
    </row>
    <row r="40" spans="1:23" ht="15" x14ac:dyDescent="0.25">
      <c r="A40" s="4" t="s">
        <v>13</v>
      </c>
      <c r="B40" s="4" t="s">
        <v>12</v>
      </c>
      <c r="C40" s="4"/>
      <c r="D40" s="4"/>
      <c r="E40" s="1" t="s">
        <v>0</v>
      </c>
      <c r="F40" s="1" t="s">
        <v>6</v>
      </c>
      <c r="G40" s="4" t="s">
        <v>276</v>
      </c>
      <c r="H40" s="17">
        <v>1</v>
      </c>
      <c r="I40" s="4" t="s">
        <v>276</v>
      </c>
      <c r="J40" s="4"/>
      <c r="K40" s="4" t="s">
        <v>488</v>
      </c>
      <c r="L40" s="4"/>
      <c r="M40" s="4"/>
      <c r="N40" s="24">
        <v>24.646567999999998</v>
      </c>
      <c r="O40" s="24">
        <v>59.423547999999997</v>
      </c>
      <c r="P40" s="4" t="s">
        <v>52</v>
      </c>
      <c r="Q40" s="4" t="s">
        <v>12</v>
      </c>
      <c r="R40" s="4"/>
      <c r="S40" s="4"/>
      <c r="T40" s="4" t="str">
        <f t="shared" si="0"/>
        <v>PMG - BB -  - Haabersti ringi keskel, kesklinnast tulles - 1</v>
      </c>
      <c r="U40" s="4" t="str">
        <f t="shared" si="1"/>
        <v>PMG - BB - Haabersti ringi keskel, kesklinnast tulles</v>
      </c>
      <c r="V40" s="40">
        <v>44562</v>
      </c>
      <c r="W40" s="31"/>
    </row>
    <row r="41" spans="1:23" ht="15" x14ac:dyDescent="0.25">
      <c r="A41" s="4" t="s">
        <v>13</v>
      </c>
      <c r="B41" s="4" t="s">
        <v>12</v>
      </c>
      <c r="C41" s="4"/>
      <c r="D41" s="4"/>
      <c r="E41" s="1" t="s">
        <v>0</v>
      </c>
      <c r="F41" s="1" t="s">
        <v>6</v>
      </c>
      <c r="G41" s="4" t="s">
        <v>277</v>
      </c>
      <c r="H41" s="17">
        <v>1</v>
      </c>
      <c r="I41" s="4" t="s">
        <v>277</v>
      </c>
      <c r="J41" s="4"/>
      <c r="K41" s="4" t="s">
        <v>488</v>
      </c>
      <c r="L41" s="4"/>
      <c r="M41" s="4"/>
      <c r="N41" s="24">
        <v>24.646567999999998</v>
      </c>
      <c r="O41" s="24">
        <v>59.423547999999997</v>
      </c>
      <c r="P41" s="4" t="s">
        <v>53</v>
      </c>
      <c r="Q41" s="4" t="s">
        <v>12</v>
      </c>
      <c r="R41" s="4"/>
      <c r="S41" s="4"/>
      <c r="T41" s="4" t="str">
        <f t="shared" si="0"/>
        <v>PMG - BB -  - Haabersti ringi keskel, Rannamõisa teel tulles - 1</v>
      </c>
      <c r="U41" s="4" t="str">
        <f t="shared" si="1"/>
        <v>PMG - BB - Haabersti ringi keskel, Rannamõisa teel tulles</v>
      </c>
      <c r="V41" s="40">
        <v>44562</v>
      </c>
      <c r="W41" s="31"/>
    </row>
    <row r="42" spans="1:23" ht="15" x14ac:dyDescent="0.25">
      <c r="A42" s="4" t="s">
        <v>13</v>
      </c>
      <c r="B42" s="4" t="s">
        <v>12</v>
      </c>
      <c r="C42" s="4"/>
      <c r="D42" s="4"/>
      <c r="E42" s="1" t="s">
        <v>0</v>
      </c>
      <c r="F42" s="1" t="s">
        <v>6</v>
      </c>
      <c r="G42" s="4" t="s">
        <v>278</v>
      </c>
      <c r="H42" s="17">
        <v>1</v>
      </c>
      <c r="I42" s="4" t="s">
        <v>278</v>
      </c>
      <c r="J42" s="4"/>
      <c r="K42" s="4" t="s">
        <v>489</v>
      </c>
      <c r="L42" s="4"/>
      <c r="M42" s="4"/>
      <c r="N42" s="24">
        <v>24.638881000000001</v>
      </c>
      <c r="O42" s="24">
        <v>59.424785</v>
      </c>
      <c r="P42" s="4" t="s">
        <v>54</v>
      </c>
      <c r="Q42" s="4" t="s">
        <v>12</v>
      </c>
      <c r="R42" s="4"/>
      <c r="S42" s="4"/>
      <c r="T42" s="4" t="str">
        <f t="shared" si="0"/>
        <v>PMG - BB -  - Rannamõisa tee 3, "Bauhaus" vastas, suund linnast välja, eraldusribal - 1</v>
      </c>
      <c r="U42" s="4" t="str">
        <f t="shared" si="1"/>
        <v>PMG - BB - Rannamõisa tee 3, "Bauhaus" vastas, suund linnast välja, eraldusribal</v>
      </c>
      <c r="V42" s="40">
        <v>44562</v>
      </c>
      <c r="W42" s="31"/>
    </row>
    <row r="43" spans="1:23" ht="15" x14ac:dyDescent="0.25">
      <c r="A43" s="4" t="s">
        <v>13</v>
      </c>
      <c r="B43" s="4" t="s">
        <v>12</v>
      </c>
      <c r="C43" s="4"/>
      <c r="D43" s="4"/>
      <c r="E43" s="1" t="s">
        <v>0</v>
      </c>
      <c r="F43" s="1" t="s">
        <v>6</v>
      </c>
      <c r="G43" s="4" t="s">
        <v>279</v>
      </c>
      <c r="H43" s="17">
        <v>1</v>
      </c>
      <c r="I43" s="4" t="s">
        <v>279</v>
      </c>
      <c r="J43" s="4"/>
      <c r="K43" s="4" t="s">
        <v>489</v>
      </c>
      <c r="L43" s="4"/>
      <c r="M43" s="4"/>
      <c r="N43" s="24">
        <v>24.638881000000001</v>
      </c>
      <c r="O43" s="24">
        <v>59.424785</v>
      </c>
      <c r="P43" s="4" t="s">
        <v>55</v>
      </c>
      <c r="Q43" s="4" t="s">
        <v>12</v>
      </c>
      <c r="R43" s="4"/>
      <c r="S43" s="4"/>
      <c r="T43" s="4" t="str">
        <f t="shared" si="0"/>
        <v>PMG - BB -  - Rannamõisa tee 3, "Bauhaus" vastas, suund linna, eraldusribal - 1</v>
      </c>
      <c r="U43" s="4" t="str">
        <f t="shared" si="1"/>
        <v>PMG - BB - Rannamõisa tee 3, "Bauhaus" vastas, suund linna, eraldusribal</v>
      </c>
      <c r="V43" s="40">
        <v>44562</v>
      </c>
      <c r="W43" s="31"/>
    </row>
    <row r="44" spans="1:23" ht="15" x14ac:dyDescent="0.25">
      <c r="A44" s="4" t="s">
        <v>13</v>
      </c>
      <c r="B44" s="4" t="s">
        <v>12</v>
      </c>
      <c r="C44" s="4"/>
      <c r="D44" s="4"/>
      <c r="E44" s="1" t="s">
        <v>0</v>
      </c>
      <c r="F44" s="1" t="s">
        <v>6</v>
      </c>
      <c r="G44" s="4" t="s">
        <v>280</v>
      </c>
      <c r="H44" s="17">
        <v>1</v>
      </c>
      <c r="I44" s="4" t="s">
        <v>280</v>
      </c>
      <c r="J44" s="4"/>
      <c r="K44" s="4" t="s">
        <v>490</v>
      </c>
      <c r="L44" s="4"/>
      <c r="M44" s="4"/>
      <c r="N44" s="24">
        <v>24.627573000000002</v>
      </c>
      <c r="O44" s="24">
        <v>59.427613000000001</v>
      </c>
      <c r="P44" s="4" t="s">
        <v>56</v>
      </c>
      <c r="Q44" s="4" t="s">
        <v>12</v>
      </c>
      <c r="R44" s="4"/>
      <c r="S44" s="4"/>
      <c r="T44" s="4" t="str">
        <f t="shared" si="0"/>
        <v>PMG - BB -  - Rannamõisa tee 6, "Kakumäe Selver" vastas, suund linnast välja  - 1</v>
      </c>
      <c r="U44" s="4" t="str">
        <f t="shared" si="1"/>
        <v xml:space="preserve">PMG - BB - Rannamõisa tee 6, "Kakumäe Selver" vastas, suund linnast välja </v>
      </c>
      <c r="V44" s="40">
        <v>44562</v>
      </c>
      <c r="W44" s="31"/>
    </row>
    <row r="45" spans="1:23" ht="15" x14ac:dyDescent="0.25">
      <c r="A45" s="4" t="s">
        <v>13</v>
      </c>
      <c r="B45" s="4" t="s">
        <v>12</v>
      </c>
      <c r="C45" s="4"/>
      <c r="D45" s="4"/>
      <c r="E45" s="1" t="s">
        <v>0</v>
      </c>
      <c r="F45" s="1" t="s">
        <v>6</v>
      </c>
      <c r="G45" s="4" t="s">
        <v>281</v>
      </c>
      <c r="H45" s="17">
        <v>1</v>
      </c>
      <c r="I45" s="4" t="s">
        <v>281</v>
      </c>
      <c r="J45" s="4"/>
      <c r="K45" s="4" t="s">
        <v>490</v>
      </c>
      <c r="L45" s="4"/>
      <c r="M45" s="4"/>
      <c r="N45" s="24">
        <v>24.627573000000002</v>
      </c>
      <c r="O45" s="24">
        <v>59.427613000000001</v>
      </c>
      <c r="P45" s="4" t="s">
        <v>57</v>
      </c>
      <c r="Q45" s="4" t="s">
        <v>12</v>
      </c>
      <c r="R45" s="4"/>
      <c r="S45" s="4"/>
      <c r="T45" s="4" t="str">
        <f t="shared" si="0"/>
        <v>PMG - BB -  - Rannamõisa tee 6, "Kakumäe Selver" vastas, suund linna - 1</v>
      </c>
      <c r="U45" s="4" t="str">
        <f t="shared" si="1"/>
        <v>PMG - BB - Rannamõisa tee 6, "Kakumäe Selver" vastas, suund linna</v>
      </c>
      <c r="V45" s="40">
        <v>44562</v>
      </c>
      <c r="W45" s="31"/>
    </row>
    <row r="46" spans="1:23" ht="15" x14ac:dyDescent="0.25">
      <c r="A46" s="4" t="s">
        <v>13</v>
      </c>
      <c r="B46" s="4" t="s">
        <v>12</v>
      </c>
      <c r="C46" s="4"/>
      <c r="D46" s="4"/>
      <c r="E46" s="1" t="s">
        <v>0</v>
      </c>
      <c r="F46" s="1" t="s">
        <v>6</v>
      </c>
      <c r="G46" s="4" t="s">
        <v>282</v>
      </c>
      <c r="H46" s="17">
        <v>1</v>
      </c>
      <c r="I46" s="4" t="s">
        <v>282</v>
      </c>
      <c r="J46" s="4"/>
      <c r="K46" s="4" t="s">
        <v>491</v>
      </c>
      <c r="L46" s="4"/>
      <c r="M46" s="4"/>
      <c r="N46" s="24">
        <v>24.655750000000001</v>
      </c>
      <c r="O46" s="24">
        <v>59.415685000000003</v>
      </c>
      <c r="P46" s="4" t="s">
        <v>58</v>
      </c>
      <c r="Q46" s="4" t="s">
        <v>12</v>
      </c>
      <c r="R46" s="4"/>
      <c r="S46" s="4"/>
      <c r="T46" s="4" t="str">
        <f t="shared" si="0"/>
        <v>PMG - BB -  - Öismäe tee/Ehitajate tee ristmik  (Subaru keskuse vastas), Haaberstisse - 1</v>
      </c>
      <c r="U46" s="4" t="str">
        <f t="shared" si="1"/>
        <v>PMG - BB - Öismäe tee/Ehitajate tee ristmik  (Subaru keskuse vastas), Haaberstisse</v>
      </c>
      <c r="V46" s="40">
        <v>44562</v>
      </c>
      <c r="W46" s="31"/>
    </row>
    <row r="47" spans="1:23" ht="15" x14ac:dyDescent="0.25">
      <c r="A47" s="4" t="s">
        <v>13</v>
      </c>
      <c r="B47" s="4" t="s">
        <v>12</v>
      </c>
      <c r="C47" s="4"/>
      <c r="D47" s="4"/>
      <c r="E47" s="1" t="s">
        <v>0</v>
      </c>
      <c r="F47" s="1" t="s">
        <v>6</v>
      </c>
      <c r="G47" s="4" t="s">
        <v>283</v>
      </c>
      <c r="H47" s="17">
        <v>1</v>
      </c>
      <c r="I47" s="4" t="s">
        <v>283</v>
      </c>
      <c r="J47" s="4"/>
      <c r="K47" s="4" t="s">
        <v>491</v>
      </c>
      <c r="L47" s="4"/>
      <c r="M47" s="4"/>
      <c r="N47" s="24">
        <v>24.655750000000001</v>
      </c>
      <c r="O47" s="24">
        <v>59.415685000000003</v>
      </c>
      <c r="P47" s="4" t="s">
        <v>59</v>
      </c>
      <c r="Q47" s="4" t="s">
        <v>12</v>
      </c>
      <c r="R47" s="4"/>
      <c r="S47" s="4"/>
      <c r="T47" s="4" t="str">
        <f t="shared" si="0"/>
        <v>PMG - BB -  - Öismäe tee/Ehitajate tee ristmik (Subaru keskuse vastas), Haaberstist - 1</v>
      </c>
      <c r="U47" s="4" t="str">
        <f t="shared" si="1"/>
        <v>PMG - BB - Öismäe tee/Ehitajate tee ristmik (Subaru keskuse vastas), Haaberstist</v>
      </c>
      <c r="V47" s="40">
        <v>44562</v>
      </c>
      <c r="W47" s="31"/>
    </row>
    <row r="48" spans="1:23" ht="15" x14ac:dyDescent="0.25">
      <c r="A48" s="4" t="s">
        <v>13</v>
      </c>
      <c r="B48" s="4" t="s">
        <v>12</v>
      </c>
      <c r="C48" s="4"/>
      <c r="D48" s="4"/>
      <c r="E48" s="1" t="s">
        <v>0</v>
      </c>
      <c r="F48" s="1" t="s">
        <v>6</v>
      </c>
      <c r="G48" s="4" t="s">
        <v>284</v>
      </c>
      <c r="H48" s="17">
        <v>1</v>
      </c>
      <c r="I48" s="4" t="s">
        <v>284</v>
      </c>
      <c r="J48" s="4"/>
      <c r="K48" s="4" t="s">
        <v>492</v>
      </c>
      <c r="L48" s="4"/>
      <c r="M48" s="4"/>
      <c r="N48" s="24">
        <v>24.655750999999999</v>
      </c>
      <c r="O48" s="24">
        <v>59.415149999999997</v>
      </c>
      <c r="P48" s="4" t="s">
        <v>60</v>
      </c>
      <c r="Q48" s="4" t="s">
        <v>12</v>
      </c>
      <c r="R48" s="4"/>
      <c r="S48" s="4"/>
      <c r="T48" s="4" t="str">
        <f t="shared" si="0"/>
        <v>PMG - BB -  - Õismäe tee ring, Nurmenuku poe juures, kesklinna                    - 1</v>
      </c>
      <c r="U48" s="4" t="str">
        <f t="shared" si="1"/>
        <v xml:space="preserve">PMG - BB - Õismäe tee ring, Nurmenuku poe juures, kesklinna                   </v>
      </c>
      <c r="V48" s="40">
        <v>44562</v>
      </c>
      <c r="W48" s="31"/>
    </row>
    <row r="49" spans="1:23" ht="15" x14ac:dyDescent="0.25">
      <c r="A49" s="4" t="s">
        <v>13</v>
      </c>
      <c r="B49" s="4" t="s">
        <v>12</v>
      </c>
      <c r="C49" s="4"/>
      <c r="D49" s="4"/>
      <c r="E49" s="1" t="s">
        <v>0</v>
      </c>
      <c r="F49" s="1" t="s">
        <v>6</v>
      </c>
      <c r="G49" s="4" t="s">
        <v>285</v>
      </c>
      <c r="H49" s="17">
        <v>1</v>
      </c>
      <c r="I49" s="4" t="s">
        <v>285</v>
      </c>
      <c r="J49" s="4"/>
      <c r="K49" s="4" t="s">
        <v>492</v>
      </c>
      <c r="L49" s="4"/>
      <c r="M49" s="4"/>
      <c r="N49" s="24">
        <v>24.655750999999999</v>
      </c>
      <c r="O49" s="24">
        <v>59.415149999999997</v>
      </c>
      <c r="P49" s="4" t="s">
        <v>61</v>
      </c>
      <c r="Q49" s="4" t="s">
        <v>12</v>
      </c>
      <c r="R49" s="4"/>
      <c r="S49" s="4"/>
      <c r="T49" s="4" t="str">
        <f t="shared" si="0"/>
        <v>PMG - BB -  - Õismäe tee ring Nurmenuku poe juures, kesklinnast                    - 1</v>
      </c>
      <c r="U49" s="4" t="str">
        <f t="shared" si="1"/>
        <v xml:space="preserve">PMG - BB - Õismäe tee ring Nurmenuku poe juures, kesklinnast                   </v>
      </c>
      <c r="V49" s="40">
        <v>44562</v>
      </c>
      <c r="W49" s="31"/>
    </row>
    <row r="50" spans="1:23" ht="15" x14ac:dyDescent="0.25">
      <c r="A50" s="4" t="s">
        <v>13</v>
      </c>
      <c r="B50" s="4" t="s">
        <v>12</v>
      </c>
      <c r="C50" s="4"/>
      <c r="D50" s="4"/>
      <c r="E50" s="1" t="s">
        <v>0</v>
      </c>
      <c r="F50" s="1" t="s">
        <v>6</v>
      </c>
      <c r="G50" s="4" t="s">
        <v>286</v>
      </c>
      <c r="H50" s="17">
        <v>1</v>
      </c>
      <c r="I50" s="4" t="s">
        <v>286</v>
      </c>
      <c r="J50" s="4"/>
      <c r="K50" s="4" t="s">
        <v>493</v>
      </c>
      <c r="L50" s="4"/>
      <c r="M50" s="4"/>
      <c r="N50" s="24">
        <v>24.634132999999999</v>
      </c>
      <c r="O50" s="24">
        <v>59.413696999999999</v>
      </c>
      <c r="P50" s="4" t="s">
        <v>62</v>
      </c>
      <c r="Q50" s="4" t="s">
        <v>12</v>
      </c>
      <c r="R50" s="4"/>
      <c r="S50" s="4"/>
      <c r="T50" s="4" t="str">
        <f t="shared" si="0"/>
        <v>PMG - BB -  - Paldiski mnt./Óismäe tee ristmik, kesklinna  - 1</v>
      </c>
      <c r="U50" s="4" t="str">
        <f t="shared" si="1"/>
        <v xml:space="preserve">PMG - BB - Paldiski mnt./Óismäe tee ristmik, kesklinna </v>
      </c>
      <c r="V50" s="40">
        <v>44562</v>
      </c>
      <c r="W50" s="31"/>
    </row>
    <row r="51" spans="1:23" ht="15" x14ac:dyDescent="0.25">
      <c r="A51" s="4" t="s">
        <v>13</v>
      </c>
      <c r="B51" s="4" t="s">
        <v>12</v>
      </c>
      <c r="C51" s="4"/>
      <c r="D51" s="4"/>
      <c r="E51" s="1" t="s">
        <v>0</v>
      </c>
      <c r="F51" s="1" t="s">
        <v>6</v>
      </c>
      <c r="G51" s="4" t="s">
        <v>287</v>
      </c>
      <c r="H51" s="17">
        <v>1</v>
      </c>
      <c r="I51" s="4" t="s">
        <v>287</v>
      </c>
      <c r="J51" s="4"/>
      <c r="K51" s="4" t="s">
        <v>493</v>
      </c>
      <c r="L51" s="4"/>
      <c r="M51" s="4"/>
      <c r="N51" s="24">
        <v>24.634132999999999</v>
      </c>
      <c r="O51" s="24">
        <v>59.413696999999999</v>
      </c>
      <c r="P51" s="4" t="s">
        <v>63</v>
      </c>
      <c r="Q51" s="4" t="s">
        <v>12</v>
      </c>
      <c r="R51" s="4"/>
      <c r="S51" s="4"/>
      <c r="T51" s="4" t="str">
        <f t="shared" si="0"/>
        <v>PMG - BB -  - Paldiski mnt./Óismäe tee ristmik, kesklinnast  - 1</v>
      </c>
      <c r="U51" s="4" t="str">
        <f t="shared" si="1"/>
        <v xml:space="preserve">PMG - BB - Paldiski mnt./Óismäe tee ristmik, kesklinnast </v>
      </c>
      <c r="V51" s="40">
        <v>44562</v>
      </c>
      <c r="W51" s="31"/>
    </row>
    <row r="52" spans="1:23" ht="15" x14ac:dyDescent="0.25">
      <c r="A52" s="4" t="s">
        <v>13</v>
      </c>
      <c r="B52" s="4" t="s">
        <v>12</v>
      </c>
      <c r="C52" s="4"/>
      <c r="D52" s="4"/>
      <c r="E52" s="1" t="s">
        <v>0</v>
      </c>
      <c r="F52" s="1" t="s">
        <v>6</v>
      </c>
      <c r="G52" s="4" t="s">
        <v>288</v>
      </c>
      <c r="H52" s="17">
        <v>1</v>
      </c>
      <c r="I52" s="4" t="s">
        <v>288</v>
      </c>
      <c r="J52" s="4"/>
      <c r="K52" s="4" t="s">
        <v>494</v>
      </c>
      <c r="L52" s="4"/>
      <c r="M52" s="4"/>
      <c r="N52" s="24">
        <v>24.641506</v>
      </c>
      <c r="O52" s="24">
        <v>59.412112999999998</v>
      </c>
      <c r="P52" s="4" t="s">
        <v>64</v>
      </c>
      <c r="Q52" s="4" t="s">
        <v>12</v>
      </c>
      <c r="R52" s="4"/>
      <c r="S52" s="4"/>
      <c r="T52" s="4" t="str">
        <f t="shared" si="0"/>
        <v>PMG - BB -  - Öismäe tee 87  sõidusuunas (eraldussaarekesel), Väike õismäe peatus, kesklinna - 1</v>
      </c>
      <c r="U52" s="4" t="str">
        <f t="shared" si="1"/>
        <v>PMG - BB - Öismäe tee 87  sõidusuunas (eraldussaarekesel), Väike õismäe peatus, kesklinna</v>
      </c>
      <c r="V52" s="40">
        <v>44562</v>
      </c>
      <c r="W52" s="31"/>
    </row>
    <row r="53" spans="1:23" ht="15" x14ac:dyDescent="0.25">
      <c r="A53" s="4" t="s">
        <v>13</v>
      </c>
      <c r="B53" s="4" t="s">
        <v>12</v>
      </c>
      <c r="C53" s="4"/>
      <c r="D53" s="4"/>
      <c r="E53" s="1" t="s">
        <v>0</v>
      </c>
      <c r="F53" s="1" t="s">
        <v>6</v>
      </c>
      <c r="G53" s="4" t="s">
        <v>289</v>
      </c>
      <c r="H53" s="17">
        <v>1</v>
      </c>
      <c r="I53" s="4" t="s">
        <v>289</v>
      </c>
      <c r="J53" s="4"/>
      <c r="K53" s="4" t="s">
        <v>494</v>
      </c>
      <c r="L53" s="4"/>
      <c r="M53" s="4"/>
      <c r="N53" s="24">
        <v>24.641506</v>
      </c>
      <c r="O53" s="24">
        <v>59.412112999999998</v>
      </c>
      <c r="P53" s="4" t="s">
        <v>65</v>
      </c>
      <c r="Q53" s="4" t="s">
        <v>12</v>
      </c>
      <c r="R53" s="4"/>
      <c r="S53" s="4"/>
      <c r="T53" s="4" t="str">
        <f t="shared" si="0"/>
        <v>PMG - BB -  - Õismäe tee 87 vastasuunas (eraldussaarekesel), Väike Õismäe peatus, kesklinnast - 1</v>
      </c>
      <c r="U53" s="4" t="str">
        <f t="shared" si="1"/>
        <v>PMG - BB - Õismäe tee 87 vastasuunas (eraldussaarekesel), Väike Õismäe peatus, kesklinnast</v>
      </c>
      <c r="V53" s="40">
        <v>44562</v>
      </c>
      <c r="W53" s="31"/>
    </row>
    <row r="54" spans="1:23" ht="15" x14ac:dyDescent="0.25">
      <c r="A54" s="4" t="s">
        <v>13</v>
      </c>
      <c r="B54" s="4" t="s">
        <v>12</v>
      </c>
      <c r="C54" s="4"/>
      <c r="D54" s="4"/>
      <c r="E54" s="1" t="s">
        <v>0</v>
      </c>
      <c r="F54" s="1" t="s">
        <v>6</v>
      </c>
      <c r="G54" s="4" t="s">
        <v>290</v>
      </c>
      <c r="H54" s="17">
        <v>1</v>
      </c>
      <c r="I54" s="4" t="s">
        <v>290</v>
      </c>
      <c r="J54" s="4"/>
      <c r="K54" s="4" t="s">
        <v>495</v>
      </c>
      <c r="L54" s="4"/>
      <c r="M54" s="4"/>
      <c r="N54" s="24">
        <v>24.656517999999998</v>
      </c>
      <c r="O54" s="24">
        <v>59.416235999999998</v>
      </c>
      <c r="P54" s="4" t="s">
        <v>65</v>
      </c>
      <c r="Q54" s="4" t="s">
        <v>12</v>
      </c>
      <c r="R54" s="4"/>
      <c r="S54" s="4"/>
      <c r="T54" s="4" t="str">
        <f t="shared" si="0"/>
        <v>PMG - BB -  - Ehitajate tee 122 (Autospirit Keskuse ees),  - 1</v>
      </c>
      <c r="U54" s="4" t="str">
        <f t="shared" si="1"/>
        <v xml:space="preserve">PMG - BB - Ehitajate tee 122 (Autospirit Keskuse ees), </v>
      </c>
      <c r="V54" s="40">
        <v>44562</v>
      </c>
      <c r="W54" s="31"/>
    </row>
    <row r="55" spans="1:23" ht="15" x14ac:dyDescent="0.25">
      <c r="A55" s="4" t="s">
        <v>13</v>
      </c>
      <c r="B55" s="4" t="s">
        <v>12</v>
      </c>
      <c r="C55" s="4"/>
      <c r="D55" s="4"/>
      <c r="E55" s="1" t="s">
        <v>0</v>
      </c>
      <c r="F55" s="1" t="s">
        <v>6</v>
      </c>
      <c r="G55" s="4" t="s">
        <v>291</v>
      </c>
      <c r="H55" s="17">
        <v>1</v>
      </c>
      <c r="I55" s="4" t="s">
        <v>291</v>
      </c>
      <c r="J55" s="4"/>
      <c r="K55" s="4" t="s">
        <v>495</v>
      </c>
      <c r="L55" s="4"/>
      <c r="M55" s="4"/>
      <c r="N55" s="24">
        <v>24.656517999999998</v>
      </c>
      <c r="O55" s="24">
        <v>59.416235999999998</v>
      </c>
      <c r="P55" s="4" t="s">
        <v>66</v>
      </c>
      <c r="Q55" s="4" t="s">
        <v>12</v>
      </c>
      <c r="R55" s="4"/>
      <c r="S55" s="4"/>
      <c r="T55" s="4" t="str">
        <f t="shared" si="0"/>
        <v>PMG - BB -  - Ehitajate tee 122  (Autospirit Keskuse ees)    - 1</v>
      </c>
      <c r="U55" s="4" t="str">
        <f t="shared" si="1"/>
        <v xml:space="preserve">PMG - BB - Ehitajate tee 122  (Autospirit Keskuse ees)   </v>
      </c>
      <c r="V55" s="40">
        <v>44562</v>
      </c>
      <c r="W55" s="31"/>
    </row>
    <row r="56" spans="1:23" ht="15" x14ac:dyDescent="0.25">
      <c r="A56" s="4" t="s">
        <v>13</v>
      </c>
      <c r="B56" s="4" t="s">
        <v>12</v>
      </c>
      <c r="C56" s="4"/>
      <c r="D56" s="4"/>
      <c r="E56" s="1" t="s">
        <v>0</v>
      </c>
      <c r="F56" s="1" t="s">
        <v>6</v>
      </c>
      <c r="G56" s="4" t="s">
        <v>292</v>
      </c>
      <c r="H56" s="17">
        <v>1</v>
      </c>
      <c r="I56" s="4" t="s">
        <v>292</v>
      </c>
      <c r="J56" s="4"/>
      <c r="K56" s="4" t="s">
        <v>496</v>
      </c>
      <c r="L56" s="4"/>
      <c r="M56" s="4"/>
      <c r="N56" s="24">
        <v>24.660388000000001</v>
      </c>
      <c r="O56" s="24">
        <v>59.412697999999999</v>
      </c>
      <c r="P56" s="4" t="s">
        <v>67</v>
      </c>
      <c r="Q56" s="4" t="s">
        <v>12</v>
      </c>
      <c r="R56" s="4"/>
      <c r="S56" s="4"/>
      <c r="T56" s="4" t="str">
        <f t="shared" si="0"/>
        <v>PMG - BB -  - Ehitajate tee 105*,kesklinna  - 1</v>
      </c>
      <c r="U56" s="4" t="str">
        <f t="shared" si="1"/>
        <v xml:space="preserve">PMG - BB - Ehitajate tee 105*,kesklinna </v>
      </c>
      <c r="V56" s="40">
        <v>44562</v>
      </c>
      <c r="W56" s="31"/>
    </row>
    <row r="57" spans="1:23" ht="15" x14ac:dyDescent="0.25">
      <c r="A57" s="4" t="s">
        <v>13</v>
      </c>
      <c r="B57" s="4" t="s">
        <v>12</v>
      </c>
      <c r="C57" s="4"/>
      <c r="D57" s="4"/>
      <c r="E57" s="1" t="s">
        <v>0</v>
      </c>
      <c r="F57" s="1" t="s">
        <v>6</v>
      </c>
      <c r="G57" s="4" t="s">
        <v>293</v>
      </c>
      <c r="H57" s="17">
        <v>1</v>
      </c>
      <c r="I57" s="4" t="s">
        <v>293</v>
      </c>
      <c r="J57" s="4"/>
      <c r="K57" s="4" t="s">
        <v>496</v>
      </c>
      <c r="L57" s="4"/>
      <c r="M57" s="4"/>
      <c r="N57" s="24">
        <v>24.660388000000001</v>
      </c>
      <c r="O57" s="24">
        <v>59.412697999999999</v>
      </c>
      <c r="P57" s="4" t="s">
        <v>68</v>
      </c>
      <c r="Q57" s="4" t="s">
        <v>12</v>
      </c>
      <c r="R57" s="4"/>
      <c r="S57" s="4"/>
      <c r="T57" s="4" t="str">
        <f t="shared" si="0"/>
        <v>PMG - BB -  - Ehitajate tee 105*, kesklinnast  - 1</v>
      </c>
      <c r="U57" s="4" t="str">
        <f t="shared" si="1"/>
        <v xml:space="preserve">PMG - BB - Ehitajate tee 105*, kesklinnast </v>
      </c>
      <c r="V57" s="40">
        <v>44562</v>
      </c>
      <c r="W57" s="31"/>
    </row>
    <row r="58" spans="1:23" ht="15" x14ac:dyDescent="0.25">
      <c r="A58" s="4" t="s">
        <v>13</v>
      </c>
      <c r="B58" s="4" t="s">
        <v>12</v>
      </c>
      <c r="C58" s="4"/>
      <c r="D58" s="4"/>
      <c r="E58" s="1" t="s">
        <v>0</v>
      </c>
      <c r="F58" s="1" t="s">
        <v>4</v>
      </c>
      <c r="G58" s="4" t="s">
        <v>294</v>
      </c>
      <c r="H58" s="17">
        <v>1</v>
      </c>
      <c r="I58" s="4" t="s">
        <v>294</v>
      </c>
      <c r="J58" s="4"/>
      <c r="K58" s="4" t="s">
        <v>497</v>
      </c>
      <c r="L58" s="4"/>
      <c r="M58" s="4"/>
      <c r="N58" s="24">
        <v>24.718468999999999</v>
      </c>
      <c r="O58" s="24">
        <v>59.426690000000001</v>
      </c>
      <c r="P58" s="4" t="s">
        <v>69</v>
      </c>
      <c r="Q58" s="4" t="s">
        <v>12</v>
      </c>
      <c r="R58" s="4"/>
      <c r="S58" s="4"/>
      <c r="T58" s="4" t="str">
        <f t="shared" si="0"/>
        <v>PMG - BB -  - Sõpruse pst.6 ees, kesklinnast,  - 1</v>
      </c>
      <c r="U58" s="4" t="str">
        <f t="shared" si="1"/>
        <v xml:space="preserve">PMG - BB - Sõpruse pst.6 ees, kesklinnast, </v>
      </c>
      <c r="V58" s="40">
        <v>44562</v>
      </c>
      <c r="W58" s="31"/>
    </row>
    <row r="59" spans="1:23" ht="15" x14ac:dyDescent="0.25">
      <c r="A59" s="4" t="s">
        <v>13</v>
      </c>
      <c r="B59" s="4" t="s">
        <v>12</v>
      </c>
      <c r="C59" s="4"/>
      <c r="D59" s="4"/>
      <c r="E59" s="1" t="s">
        <v>0</v>
      </c>
      <c r="F59" s="1" t="s">
        <v>4</v>
      </c>
      <c r="G59" s="4" t="s">
        <v>295</v>
      </c>
      <c r="H59" s="17">
        <v>1</v>
      </c>
      <c r="I59" s="4" t="s">
        <v>295</v>
      </c>
      <c r="J59" s="4"/>
      <c r="K59" s="4" t="s">
        <v>497</v>
      </c>
      <c r="L59" s="4"/>
      <c r="M59" s="4"/>
      <c r="N59" s="24">
        <v>24.718468999999999</v>
      </c>
      <c r="O59" s="24">
        <v>59.426690000000001</v>
      </c>
      <c r="P59" s="4" t="s">
        <v>70</v>
      </c>
      <c r="Q59" s="4" t="s">
        <v>12</v>
      </c>
      <c r="R59" s="4"/>
      <c r="S59" s="4"/>
      <c r="T59" s="4" t="str">
        <f t="shared" si="0"/>
        <v>PMG - BB -  - Sõpruse pst.6 ees, kesklinna  - 1</v>
      </c>
      <c r="U59" s="4" t="str">
        <f t="shared" si="1"/>
        <v xml:space="preserve">PMG - BB - Sõpruse pst.6 ees, kesklinna </v>
      </c>
      <c r="V59" s="40">
        <v>44562</v>
      </c>
      <c r="W59" s="31"/>
    </row>
    <row r="60" spans="1:23" ht="15" x14ac:dyDescent="0.25">
      <c r="A60" s="4" t="s">
        <v>13</v>
      </c>
      <c r="B60" s="4" t="s">
        <v>12</v>
      </c>
      <c r="C60" s="4"/>
      <c r="D60" s="4"/>
      <c r="E60" s="1" t="s">
        <v>0</v>
      </c>
      <c r="F60" s="1" t="s">
        <v>4</v>
      </c>
      <c r="G60" s="4" t="s">
        <v>296</v>
      </c>
      <c r="H60" s="17">
        <v>1</v>
      </c>
      <c r="I60" s="4" t="s">
        <v>296</v>
      </c>
      <c r="J60" s="4"/>
      <c r="K60" s="4" t="s">
        <v>498</v>
      </c>
      <c r="L60" s="4"/>
      <c r="M60" s="4"/>
      <c r="N60" s="24">
        <v>24.711138999999999</v>
      </c>
      <c r="O60" s="24">
        <v>59.41807</v>
      </c>
      <c r="P60" s="4" t="s">
        <v>71</v>
      </c>
      <c r="Q60" s="4" t="s">
        <v>12</v>
      </c>
      <c r="R60" s="4"/>
      <c r="S60" s="4"/>
      <c r="T60" s="4" t="str">
        <f t="shared" si="0"/>
        <v>PMG - BB -  - Sõpruse pst.enne Rimi kauplust, kesklinnast - 1</v>
      </c>
      <c r="U60" s="4" t="str">
        <f t="shared" si="1"/>
        <v>PMG - BB - Sõpruse pst.enne Rimi kauplust, kesklinnast</v>
      </c>
      <c r="V60" s="40">
        <v>44562</v>
      </c>
      <c r="W60" s="31"/>
    </row>
    <row r="61" spans="1:23" ht="15" x14ac:dyDescent="0.25">
      <c r="A61" s="4" t="s">
        <v>13</v>
      </c>
      <c r="B61" s="4" t="s">
        <v>12</v>
      </c>
      <c r="C61" s="4"/>
      <c r="D61" s="4"/>
      <c r="E61" s="1" t="s">
        <v>0</v>
      </c>
      <c r="F61" s="1" t="s">
        <v>4</v>
      </c>
      <c r="G61" s="4" t="s">
        <v>297</v>
      </c>
      <c r="H61" s="17">
        <v>1</v>
      </c>
      <c r="I61" s="4" t="s">
        <v>297</v>
      </c>
      <c r="J61" s="4"/>
      <c r="K61" s="4" t="s">
        <v>498</v>
      </c>
      <c r="L61" s="4"/>
      <c r="M61" s="4"/>
      <c r="N61" s="24">
        <v>24.711138999999999</v>
      </c>
      <c r="O61" s="24">
        <v>59.41807</v>
      </c>
      <c r="P61" s="4" t="s">
        <v>72</v>
      </c>
      <c r="Q61" s="4" t="s">
        <v>12</v>
      </c>
      <c r="R61" s="4"/>
      <c r="S61" s="4"/>
      <c r="T61" s="4" t="str">
        <f t="shared" si="0"/>
        <v>PMG - BB -  - Sõpruse pst. Enne Rimi kauplust, kesklinna - 1</v>
      </c>
      <c r="U61" s="4" t="str">
        <f t="shared" si="1"/>
        <v>PMG - BB - Sõpruse pst. Enne Rimi kauplust, kesklinna</v>
      </c>
      <c r="V61" s="40">
        <v>44562</v>
      </c>
      <c r="W61" s="31"/>
    </row>
    <row r="62" spans="1:23" ht="15" x14ac:dyDescent="0.25">
      <c r="A62" s="4" t="s">
        <v>13</v>
      </c>
      <c r="B62" s="4" t="s">
        <v>12</v>
      </c>
      <c r="C62" s="4"/>
      <c r="D62" s="4"/>
      <c r="E62" s="1" t="s">
        <v>0</v>
      </c>
      <c r="F62" s="1" t="s">
        <v>4</v>
      </c>
      <c r="G62" s="4" t="s">
        <v>298</v>
      </c>
      <c r="H62" s="17">
        <v>1</v>
      </c>
      <c r="I62" s="4" t="s">
        <v>298</v>
      </c>
      <c r="J62" s="4"/>
      <c r="K62" s="4" t="s">
        <v>499</v>
      </c>
      <c r="L62" s="4"/>
      <c r="M62" s="4"/>
      <c r="N62" s="24">
        <v>24.706959999999999</v>
      </c>
      <c r="O62" s="24">
        <v>59.412861999999997</v>
      </c>
      <c r="P62" s="4" t="s">
        <v>73</v>
      </c>
      <c r="Q62" s="4" t="s">
        <v>12</v>
      </c>
      <c r="R62" s="4"/>
      <c r="S62" s="4"/>
      <c r="T62" s="4" t="str">
        <f t="shared" si="0"/>
        <v>PMG - BB -  - Sõpruse pst. ja Linnu tee rist, kesklinnast  - 1</v>
      </c>
      <c r="U62" s="4" t="str">
        <f t="shared" si="1"/>
        <v xml:space="preserve">PMG - BB - Sõpruse pst. ja Linnu tee rist, kesklinnast </v>
      </c>
      <c r="V62" s="40">
        <v>44562</v>
      </c>
      <c r="W62" s="31"/>
    </row>
    <row r="63" spans="1:23" ht="15" x14ac:dyDescent="0.25">
      <c r="A63" s="4" t="s">
        <v>13</v>
      </c>
      <c r="B63" s="4" t="s">
        <v>12</v>
      </c>
      <c r="C63" s="4"/>
      <c r="D63" s="4"/>
      <c r="E63" s="1" t="s">
        <v>0</v>
      </c>
      <c r="F63" s="1" t="s">
        <v>4</v>
      </c>
      <c r="G63" s="4" t="s">
        <v>299</v>
      </c>
      <c r="H63" s="17">
        <v>1</v>
      </c>
      <c r="I63" s="4" t="s">
        <v>299</v>
      </c>
      <c r="J63" s="4"/>
      <c r="K63" s="4" t="s">
        <v>499</v>
      </c>
      <c r="L63" s="4"/>
      <c r="M63" s="4"/>
      <c r="N63" s="24">
        <v>24.706959999999999</v>
      </c>
      <c r="O63" s="24">
        <v>59.412861999999997</v>
      </c>
      <c r="P63" s="4" t="s">
        <v>74</v>
      </c>
      <c r="Q63" s="4" t="s">
        <v>12</v>
      </c>
      <c r="R63" s="4"/>
      <c r="S63" s="4"/>
      <c r="T63" s="4" t="str">
        <f t="shared" si="0"/>
        <v>PMG - BB -  - Sõpruse pst. ja Linnu tee rist, kesklinna  - 1</v>
      </c>
      <c r="U63" s="4" t="str">
        <f t="shared" si="1"/>
        <v xml:space="preserve">PMG - BB - Sõpruse pst. ja Linnu tee rist, kesklinna </v>
      </c>
      <c r="V63" s="40">
        <v>44562</v>
      </c>
      <c r="W63" s="31"/>
    </row>
    <row r="64" spans="1:23" ht="15" x14ac:dyDescent="0.25">
      <c r="A64" s="4" t="s">
        <v>13</v>
      </c>
      <c r="B64" s="4" t="s">
        <v>12</v>
      </c>
      <c r="C64" s="4"/>
      <c r="D64" s="4"/>
      <c r="E64" s="1" t="s">
        <v>0</v>
      </c>
      <c r="F64" s="1" t="s">
        <v>4</v>
      </c>
      <c r="G64" s="4" t="s">
        <v>300</v>
      </c>
      <c r="H64" s="17">
        <v>1</v>
      </c>
      <c r="I64" s="4" t="s">
        <v>300</v>
      </c>
      <c r="J64" s="4"/>
      <c r="K64" s="4" t="s">
        <v>500</v>
      </c>
      <c r="L64" s="4"/>
      <c r="M64" s="4"/>
      <c r="N64" s="24">
        <v>24.70476</v>
      </c>
      <c r="O64" s="24">
        <v>59.409142000000003</v>
      </c>
      <c r="P64" s="4" t="s">
        <v>75</v>
      </c>
      <c r="Q64" s="4" t="s">
        <v>12</v>
      </c>
      <c r="R64" s="4"/>
      <c r="S64" s="4"/>
      <c r="T64" s="4" t="str">
        <f t="shared" si="0"/>
        <v>PMG - BB -  - Sõpruse pst. Siili, kesklinna - 1</v>
      </c>
      <c r="U64" s="4" t="str">
        <f t="shared" si="1"/>
        <v>PMG - BB - Sõpruse pst. Siili, kesklinna</v>
      </c>
      <c r="V64" s="40">
        <v>44562</v>
      </c>
      <c r="W64" s="31"/>
    </row>
    <row r="65" spans="1:23" ht="15" x14ac:dyDescent="0.25">
      <c r="A65" s="4" t="s">
        <v>13</v>
      </c>
      <c r="B65" s="4" t="s">
        <v>12</v>
      </c>
      <c r="C65" s="4"/>
      <c r="D65" s="4"/>
      <c r="E65" s="1" t="s">
        <v>0</v>
      </c>
      <c r="F65" s="1" t="s">
        <v>4</v>
      </c>
      <c r="G65" s="4" t="s">
        <v>301</v>
      </c>
      <c r="H65" s="17">
        <v>1</v>
      </c>
      <c r="I65" s="4" t="s">
        <v>301</v>
      </c>
      <c r="J65" s="4"/>
      <c r="K65" s="4" t="s">
        <v>500</v>
      </c>
      <c r="L65" s="4"/>
      <c r="M65" s="4"/>
      <c r="N65" s="24">
        <v>24.70476</v>
      </c>
      <c r="O65" s="24">
        <v>59.409142000000003</v>
      </c>
      <c r="P65" s="4" t="s">
        <v>76</v>
      </c>
      <c r="Q65" s="4" t="s">
        <v>12</v>
      </c>
      <c r="R65" s="4"/>
      <c r="S65" s="4"/>
      <c r="T65" s="4" t="str">
        <f t="shared" si="0"/>
        <v>PMG - BB -  - Sõpruse pst. Siili, kesklinnast  - 1</v>
      </c>
      <c r="U65" s="4" t="str">
        <f t="shared" si="1"/>
        <v xml:space="preserve">PMG - BB - Sõpruse pst. Siili, kesklinnast </v>
      </c>
      <c r="V65" s="40">
        <v>44562</v>
      </c>
      <c r="W65" s="31"/>
    </row>
    <row r="66" spans="1:23" ht="15" x14ac:dyDescent="0.25">
      <c r="A66" s="4" t="s">
        <v>13</v>
      </c>
      <c r="B66" s="4" t="s">
        <v>12</v>
      </c>
      <c r="C66" s="4"/>
      <c r="D66" s="4"/>
      <c r="E66" s="1" t="s">
        <v>0</v>
      </c>
      <c r="F66" s="1" t="s">
        <v>4</v>
      </c>
      <c r="G66" s="4" t="s">
        <v>302</v>
      </c>
      <c r="H66" s="17">
        <v>1</v>
      </c>
      <c r="I66" s="4" t="s">
        <v>302</v>
      </c>
      <c r="J66" s="4"/>
      <c r="K66" s="4" t="s">
        <v>591</v>
      </c>
      <c r="L66" s="4"/>
      <c r="M66" s="4"/>
      <c r="N66" s="24">
        <v>24.7002204719665</v>
      </c>
      <c r="O66" s="24">
        <v>59.404928339172301</v>
      </c>
      <c r="P66" s="4" t="s">
        <v>77</v>
      </c>
      <c r="Q66" s="4" t="s">
        <v>12</v>
      </c>
      <c r="R66" s="4"/>
      <c r="S66" s="4"/>
      <c r="T66" s="4" t="str">
        <f t="shared" si="0"/>
        <v>PMG - BB -  - Sõpruse pst./Tammsaare tee ristmik, suund kesklinnast - 1</v>
      </c>
      <c r="U66" s="4" t="str">
        <f t="shared" si="1"/>
        <v>PMG - BB - Sõpruse pst./Tammsaare tee ristmik, suund kesklinnast</v>
      </c>
      <c r="V66" s="40">
        <v>44562</v>
      </c>
      <c r="W66" s="31"/>
    </row>
    <row r="67" spans="1:23" ht="15" x14ac:dyDescent="0.25">
      <c r="A67" s="4" t="s">
        <v>13</v>
      </c>
      <c r="B67" s="4" t="s">
        <v>12</v>
      </c>
      <c r="C67" s="4"/>
      <c r="D67" s="4"/>
      <c r="E67" s="1" t="s">
        <v>0</v>
      </c>
      <c r="F67" s="1" t="s">
        <v>4</v>
      </c>
      <c r="G67" s="4" t="s">
        <v>303</v>
      </c>
      <c r="H67" s="17">
        <v>1</v>
      </c>
      <c r="I67" s="4" t="s">
        <v>303</v>
      </c>
      <c r="J67" s="4"/>
      <c r="K67" s="4" t="s">
        <v>591</v>
      </c>
      <c r="L67" s="4"/>
      <c r="M67" s="4"/>
      <c r="N67" s="24">
        <v>24.7002204719665</v>
      </c>
      <c r="O67" s="24">
        <v>59.404928339172301</v>
      </c>
      <c r="P67" s="16" t="s">
        <v>78</v>
      </c>
      <c r="Q67" s="4" t="s">
        <v>12</v>
      </c>
      <c r="R67" s="4"/>
      <c r="S67" s="4"/>
      <c r="T67" s="4" t="str">
        <f t="shared" ref="T67:T130" si="2">CONCATENATE(A67," - ",B67," - ",C67," - ",G67," - ",H67)</f>
        <v>PMG - BB -  - Sõpruse pst./Tammsaare tee ristmik, suund kesklinna - 1</v>
      </c>
      <c r="U67" s="4" t="str">
        <f t="shared" ref="U67:U130" si="3">CONCATENATE(A67," - ",B67," - ",G67,)</f>
        <v>PMG - BB - Sõpruse pst./Tammsaare tee ristmik, suund kesklinna</v>
      </c>
      <c r="V67" s="40">
        <v>44562</v>
      </c>
      <c r="W67" s="31"/>
    </row>
    <row r="68" spans="1:23" ht="15" x14ac:dyDescent="0.25">
      <c r="A68" s="4" t="s">
        <v>13</v>
      </c>
      <c r="B68" s="4" t="s">
        <v>12</v>
      </c>
      <c r="C68" s="4"/>
      <c r="D68" s="4"/>
      <c r="E68" s="1" t="s">
        <v>0</v>
      </c>
      <c r="F68" s="1" t="s">
        <v>4</v>
      </c>
      <c r="G68" s="4" t="s">
        <v>580</v>
      </c>
      <c r="H68" s="17">
        <v>1</v>
      </c>
      <c r="I68" s="4" t="s">
        <v>580</v>
      </c>
      <c r="J68" s="4"/>
      <c r="K68" s="4" t="s">
        <v>592</v>
      </c>
      <c r="L68" s="4"/>
      <c r="M68" s="4"/>
      <c r="N68" s="24">
        <v>24.701775999999999</v>
      </c>
      <c r="O68" s="24">
        <v>59.404710999999999</v>
      </c>
      <c r="P68" s="4"/>
      <c r="Q68" s="4" t="s">
        <v>12</v>
      </c>
      <c r="R68" s="4"/>
      <c r="S68" s="4"/>
      <c r="T68" s="4" t="str">
        <f t="shared" si="2"/>
        <v>PMG - BB -  - Sõpruse 179/Tammsaare tee ristmik, suund kesklinna - 1</v>
      </c>
      <c r="U68" s="4" t="str">
        <f t="shared" si="3"/>
        <v>PMG - BB - Sõpruse 179/Tammsaare tee ristmik, suund kesklinna</v>
      </c>
      <c r="V68" s="40">
        <v>44562</v>
      </c>
      <c r="W68" s="31"/>
    </row>
    <row r="69" spans="1:23" ht="15" x14ac:dyDescent="0.25">
      <c r="A69" s="4" t="s">
        <v>13</v>
      </c>
      <c r="B69" s="4" t="s">
        <v>12</v>
      </c>
      <c r="C69" s="4"/>
      <c r="D69" s="4"/>
      <c r="E69" s="1" t="s">
        <v>0</v>
      </c>
      <c r="F69" s="1" t="s">
        <v>4</v>
      </c>
      <c r="G69" s="4" t="s">
        <v>581</v>
      </c>
      <c r="H69" s="17">
        <v>1</v>
      </c>
      <c r="I69" s="4" t="s">
        <v>581</v>
      </c>
      <c r="J69" s="4"/>
      <c r="K69" s="4" t="s">
        <v>592</v>
      </c>
      <c r="L69" s="4"/>
      <c r="M69" s="4"/>
      <c r="N69" s="24">
        <v>24.701775999999999</v>
      </c>
      <c r="O69" s="24">
        <v>59.404710999999999</v>
      </c>
      <c r="P69" s="4"/>
      <c r="Q69" s="4" t="s">
        <v>12</v>
      </c>
      <c r="R69" s="4"/>
      <c r="S69" s="4"/>
      <c r="T69" s="4" t="str">
        <f t="shared" si="2"/>
        <v>PMG - BB -  - Sõpruse 179/Tammsaare tee ristmik, suund kesklinnast - 1</v>
      </c>
      <c r="U69" s="4" t="str">
        <f t="shared" si="3"/>
        <v>PMG - BB - Sõpruse 179/Tammsaare tee ristmik, suund kesklinnast</v>
      </c>
      <c r="V69" s="40">
        <v>44562</v>
      </c>
      <c r="W69" s="31"/>
    </row>
    <row r="70" spans="1:23" ht="15" x14ac:dyDescent="0.25">
      <c r="A70" s="4" t="s">
        <v>13</v>
      </c>
      <c r="B70" s="4" t="s">
        <v>12</v>
      </c>
      <c r="C70" s="4"/>
      <c r="D70" s="4"/>
      <c r="E70" s="1" t="s">
        <v>0</v>
      </c>
      <c r="F70" s="1" t="s">
        <v>4</v>
      </c>
      <c r="G70" s="4" t="s">
        <v>582</v>
      </c>
      <c r="H70" s="17">
        <v>1</v>
      </c>
      <c r="I70" s="4" t="s">
        <v>582</v>
      </c>
      <c r="J70" s="4"/>
      <c r="K70" s="4" t="s">
        <v>593</v>
      </c>
      <c r="L70" s="4"/>
      <c r="M70" s="4"/>
      <c r="N70" s="24">
        <v>24.691967999999999</v>
      </c>
      <c r="O70" s="24">
        <v>59.400064</v>
      </c>
      <c r="P70" s="4"/>
      <c r="Q70" s="4" t="s">
        <v>12</v>
      </c>
      <c r="R70" s="4"/>
      <c r="S70" s="4"/>
      <c r="T70" s="4" t="str">
        <f t="shared" si="2"/>
        <v>PMG - BB -  - Sõpruse 213, suund kesklinna - 1</v>
      </c>
      <c r="U70" s="4" t="str">
        <f t="shared" si="3"/>
        <v>PMG - BB - Sõpruse 213, suund kesklinna</v>
      </c>
      <c r="V70" s="40">
        <v>44562</v>
      </c>
      <c r="W70" s="31"/>
    </row>
    <row r="71" spans="1:23" ht="15" x14ac:dyDescent="0.25">
      <c r="A71" s="4" t="s">
        <v>13</v>
      </c>
      <c r="B71" s="4" t="s">
        <v>12</v>
      </c>
      <c r="C71" s="4"/>
      <c r="D71" s="4"/>
      <c r="E71" s="1" t="s">
        <v>0</v>
      </c>
      <c r="F71" s="1" t="s">
        <v>4</v>
      </c>
      <c r="G71" s="4" t="s">
        <v>583</v>
      </c>
      <c r="H71" s="17">
        <v>1</v>
      </c>
      <c r="I71" s="4" t="s">
        <v>583</v>
      </c>
      <c r="J71" s="4"/>
      <c r="K71" s="4" t="s">
        <v>593</v>
      </c>
      <c r="L71" s="4"/>
      <c r="M71" s="4"/>
      <c r="N71" s="24">
        <v>24.691967999999999</v>
      </c>
      <c r="O71" s="24">
        <v>59.400064</v>
      </c>
      <c r="P71" s="4"/>
      <c r="Q71" s="4" t="s">
        <v>12</v>
      </c>
      <c r="R71" s="4"/>
      <c r="S71" s="4"/>
      <c r="T71" s="4" t="str">
        <f t="shared" si="2"/>
        <v>PMG - BB -  - Sõpruse 213, suund kesklinnast - 1</v>
      </c>
      <c r="U71" s="4" t="str">
        <f t="shared" si="3"/>
        <v>PMG - BB - Sõpruse 213, suund kesklinnast</v>
      </c>
      <c r="V71" s="40">
        <v>44562</v>
      </c>
      <c r="W71" s="31"/>
    </row>
    <row r="72" spans="1:23" ht="15" x14ac:dyDescent="0.25">
      <c r="A72" s="4" t="s">
        <v>13</v>
      </c>
      <c r="B72" s="4" t="s">
        <v>12</v>
      </c>
      <c r="C72" s="4"/>
      <c r="D72" s="4"/>
      <c r="E72" s="1" t="s">
        <v>0</v>
      </c>
      <c r="F72" s="1" t="s">
        <v>4</v>
      </c>
      <c r="G72" s="4" t="s">
        <v>584</v>
      </c>
      <c r="H72" s="17">
        <v>1</v>
      </c>
      <c r="I72" s="4" t="s">
        <v>584</v>
      </c>
      <c r="J72" s="4"/>
      <c r="K72" s="4" t="s">
        <v>778</v>
      </c>
      <c r="L72" s="4"/>
      <c r="M72" s="4"/>
      <c r="N72" s="24">
        <v>24.699636999999999</v>
      </c>
      <c r="O72" s="24">
        <v>59.404052</v>
      </c>
      <c r="P72" s="4"/>
      <c r="Q72" s="4" t="s">
        <v>12</v>
      </c>
      <c r="R72" s="4"/>
      <c r="S72" s="4"/>
      <c r="T72" s="4" t="str">
        <f t="shared" si="2"/>
        <v>PMG - BB -  - Sõpruse 206, suund kesklinnast - 1</v>
      </c>
      <c r="U72" s="4" t="str">
        <f t="shared" si="3"/>
        <v>PMG - BB - Sõpruse 206, suund kesklinnast</v>
      </c>
      <c r="V72" s="40">
        <v>44562</v>
      </c>
      <c r="W72" s="31"/>
    </row>
    <row r="73" spans="1:23" ht="15" x14ac:dyDescent="0.25">
      <c r="A73" s="4" t="s">
        <v>13</v>
      </c>
      <c r="B73" s="4" t="s">
        <v>12</v>
      </c>
      <c r="C73" s="4"/>
      <c r="D73" s="4"/>
      <c r="E73" s="1" t="s">
        <v>0</v>
      </c>
      <c r="F73" s="1" t="s">
        <v>4</v>
      </c>
      <c r="G73" s="4" t="s">
        <v>585</v>
      </c>
      <c r="H73" s="17">
        <v>1</v>
      </c>
      <c r="I73" s="4" t="s">
        <v>585</v>
      </c>
      <c r="J73" s="4"/>
      <c r="K73" s="4" t="s">
        <v>778</v>
      </c>
      <c r="L73" s="4"/>
      <c r="M73" s="4"/>
      <c r="N73" s="24">
        <v>24.699636999999999</v>
      </c>
      <c r="O73" s="24">
        <v>59.404052</v>
      </c>
      <c r="P73" s="4"/>
      <c r="Q73" s="4" t="s">
        <v>12</v>
      </c>
      <c r="R73" s="4"/>
      <c r="S73" s="4"/>
      <c r="T73" s="4" t="str">
        <f t="shared" si="2"/>
        <v>PMG - BB -  - Sõpruse 206, suund kesklinna  - 1</v>
      </c>
      <c r="U73" s="4" t="str">
        <f t="shared" si="3"/>
        <v xml:space="preserve">PMG - BB - Sõpruse 206, suund kesklinna </v>
      </c>
      <c r="V73" s="40">
        <v>44562</v>
      </c>
      <c r="W73" s="31"/>
    </row>
    <row r="74" spans="1:23" ht="15" x14ac:dyDescent="0.25">
      <c r="A74" s="4" t="s">
        <v>13</v>
      </c>
      <c r="B74" s="4" t="s">
        <v>12</v>
      </c>
      <c r="C74" s="4"/>
      <c r="D74" s="4"/>
      <c r="E74" s="1" t="s">
        <v>0</v>
      </c>
      <c r="F74" s="1" t="s">
        <v>4</v>
      </c>
      <c r="G74" s="4" t="s">
        <v>304</v>
      </c>
      <c r="H74" s="17">
        <v>1</v>
      </c>
      <c r="I74" s="4" t="s">
        <v>304</v>
      </c>
      <c r="J74" s="4"/>
      <c r="K74" s="4" t="s">
        <v>501</v>
      </c>
      <c r="L74" s="4"/>
      <c r="M74" s="4"/>
      <c r="N74" s="24">
        <v>24.697150000000001</v>
      </c>
      <c r="O74" s="24">
        <v>59.402200999999998</v>
      </c>
      <c r="P74" s="4" t="s">
        <v>79</v>
      </c>
      <c r="Q74" s="4" t="s">
        <v>12</v>
      </c>
      <c r="R74" s="4"/>
      <c r="S74" s="4"/>
      <c r="T74" s="4" t="str">
        <f t="shared" si="2"/>
        <v>PMG - BB -  - Sõpruse pst. 201/203, kesklinna                                   - 1</v>
      </c>
      <c r="U74" s="4" t="str">
        <f t="shared" si="3"/>
        <v xml:space="preserve">PMG - BB - Sõpruse pst. 201/203, kesklinna                                  </v>
      </c>
      <c r="V74" s="40">
        <v>44562</v>
      </c>
      <c r="W74" s="31"/>
    </row>
    <row r="75" spans="1:23" ht="15" x14ac:dyDescent="0.25">
      <c r="A75" s="4" t="s">
        <v>13</v>
      </c>
      <c r="B75" s="4" t="s">
        <v>12</v>
      </c>
      <c r="C75" s="4"/>
      <c r="D75" s="4"/>
      <c r="E75" s="1" t="s">
        <v>0</v>
      </c>
      <c r="F75" s="1" t="s">
        <v>4</v>
      </c>
      <c r="G75" s="4" t="s">
        <v>305</v>
      </c>
      <c r="H75" s="17">
        <v>1</v>
      </c>
      <c r="I75" s="4" t="s">
        <v>305</v>
      </c>
      <c r="J75" s="4"/>
      <c r="K75" s="4" t="s">
        <v>501</v>
      </c>
      <c r="L75" s="4"/>
      <c r="M75" s="4"/>
      <c r="N75" s="24">
        <v>24.697150000000001</v>
      </c>
      <c r="O75" s="24">
        <v>59.402200999999998</v>
      </c>
      <c r="P75" s="4" t="s">
        <v>80</v>
      </c>
      <c r="Q75" s="4" t="s">
        <v>12</v>
      </c>
      <c r="R75" s="4"/>
      <c r="S75" s="4"/>
      <c r="T75" s="4" t="str">
        <f t="shared" si="2"/>
        <v>PMG - BB -  - Sõpruse pst. 201/203, kesklinnast                            - 1</v>
      </c>
      <c r="U75" s="4" t="str">
        <f t="shared" si="3"/>
        <v xml:space="preserve">PMG - BB - Sõpruse pst. 201/203, kesklinnast                           </v>
      </c>
      <c r="V75" s="40">
        <v>44562</v>
      </c>
      <c r="W75" s="31"/>
    </row>
    <row r="76" spans="1:23" ht="15" x14ac:dyDescent="0.25">
      <c r="A76" s="4" t="s">
        <v>13</v>
      </c>
      <c r="B76" s="4" t="s">
        <v>12</v>
      </c>
      <c r="C76" s="4"/>
      <c r="D76" s="4"/>
      <c r="E76" s="1" t="s">
        <v>0</v>
      </c>
      <c r="F76" s="1" t="s">
        <v>4</v>
      </c>
      <c r="G76" s="4" t="s">
        <v>306</v>
      </c>
      <c r="H76" s="17">
        <v>1</v>
      </c>
      <c r="I76" s="4" t="s">
        <v>306</v>
      </c>
      <c r="J76" s="4"/>
      <c r="K76" s="4" t="s">
        <v>502</v>
      </c>
      <c r="L76" s="4"/>
      <c r="M76" s="4"/>
      <c r="N76" s="24">
        <v>24.695995</v>
      </c>
      <c r="O76" s="24">
        <v>59.401558000000001</v>
      </c>
      <c r="P76" s="4" t="s">
        <v>81</v>
      </c>
      <c r="Q76" s="4" t="s">
        <v>12</v>
      </c>
      <c r="R76" s="4"/>
      <c r="S76" s="4"/>
      <c r="T76" s="4" t="str">
        <f t="shared" si="2"/>
        <v>PMG - BB -  - Sõpruse pst./"Magistral"  suunaga kesklinna - 1</v>
      </c>
      <c r="U76" s="4" t="str">
        <f t="shared" si="3"/>
        <v>PMG - BB - Sõpruse pst./"Magistral"  suunaga kesklinna</v>
      </c>
      <c r="V76" s="40">
        <v>44562</v>
      </c>
      <c r="W76" s="31"/>
    </row>
    <row r="77" spans="1:23" ht="15" x14ac:dyDescent="0.25">
      <c r="A77" s="4" t="s">
        <v>13</v>
      </c>
      <c r="B77" s="4" t="s">
        <v>12</v>
      </c>
      <c r="C77" s="4"/>
      <c r="D77" s="4"/>
      <c r="E77" s="1" t="s">
        <v>0</v>
      </c>
      <c r="F77" s="1" t="s">
        <v>4</v>
      </c>
      <c r="G77" s="4" t="s">
        <v>307</v>
      </c>
      <c r="H77" s="17">
        <v>1</v>
      </c>
      <c r="I77" s="4" t="s">
        <v>307</v>
      </c>
      <c r="J77" s="4"/>
      <c r="K77" s="4" t="s">
        <v>502</v>
      </c>
      <c r="L77" s="4"/>
      <c r="M77" s="4"/>
      <c r="N77" s="24">
        <v>24.695995</v>
      </c>
      <c r="O77" s="24">
        <v>59.401558000000001</v>
      </c>
      <c r="P77" s="4" t="s">
        <v>82</v>
      </c>
      <c r="Q77" s="4" t="s">
        <v>12</v>
      </c>
      <c r="R77" s="4"/>
      <c r="S77" s="4"/>
      <c r="T77" s="4" t="str">
        <f t="shared" si="2"/>
        <v>PMG - BB -  - Sõpruse pst. /"Magistral"  suunaga kesklinnast  - 1</v>
      </c>
      <c r="U77" s="4" t="str">
        <f t="shared" si="3"/>
        <v xml:space="preserve">PMG - BB - Sõpruse pst. /"Magistral"  suunaga kesklinnast </v>
      </c>
      <c r="V77" s="40">
        <v>44562</v>
      </c>
      <c r="W77" s="31"/>
    </row>
    <row r="78" spans="1:23" ht="15" x14ac:dyDescent="0.25">
      <c r="A78" s="4" t="s">
        <v>13</v>
      </c>
      <c r="B78" s="4" t="s">
        <v>12</v>
      </c>
      <c r="C78" s="4"/>
      <c r="D78" s="4"/>
      <c r="E78" s="1" t="s">
        <v>0</v>
      </c>
      <c r="F78" s="1" t="s">
        <v>4</v>
      </c>
      <c r="G78" s="4" t="s">
        <v>308</v>
      </c>
      <c r="H78" s="17">
        <v>1</v>
      </c>
      <c r="I78" s="4" t="s">
        <v>308</v>
      </c>
      <c r="J78" s="4"/>
      <c r="K78" s="4" t="s">
        <v>503</v>
      </c>
      <c r="L78" s="4"/>
      <c r="M78" s="4"/>
      <c r="N78" s="24">
        <v>24.702043</v>
      </c>
      <c r="O78" s="24">
        <v>59.405000000000001</v>
      </c>
      <c r="P78" s="4" t="s">
        <v>83</v>
      </c>
      <c r="Q78" s="4" t="s">
        <v>12</v>
      </c>
      <c r="R78" s="4"/>
      <c r="S78" s="4"/>
      <c r="T78" s="4" t="str">
        <f t="shared" si="2"/>
        <v>PMG - BB -  - Tammsaare tee/Sõpruse pst. nurgal , Haaberstisse - 1</v>
      </c>
      <c r="U78" s="4" t="str">
        <f t="shared" si="3"/>
        <v>PMG - BB - Tammsaare tee/Sõpruse pst. nurgal , Haaberstisse</v>
      </c>
      <c r="V78" s="40">
        <v>44562</v>
      </c>
      <c r="W78" s="31"/>
    </row>
    <row r="79" spans="1:23" ht="15" x14ac:dyDescent="0.25">
      <c r="A79" s="4" t="s">
        <v>13</v>
      </c>
      <c r="B79" s="4" t="s">
        <v>12</v>
      </c>
      <c r="C79" s="4"/>
      <c r="D79" s="4"/>
      <c r="E79" s="1" t="s">
        <v>0</v>
      </c>
      <c r="F79" s="1" t="s">
        <v>4</v>
      </c>
      <c r="G79" s="4" t="s">
        <v>309</v>
      </c>
      <c r="H79" s="17">
        <v>1</v>
      </c>
      <c r="I79" s="4" t="s">
        <v>309</v>
      </c>
      <c r="J79" s="4"/>
      <c r="K79" s="4" t="s">
        <v>503</v>
      </c>
      <c r="L79" s="4"/>
      <c r="M79" s="4"/>
      <c r="N79" s="24">
        <v>24.702043</v>
      </c>
      <c r="O79" s="24">
        <v>59.405000000000001</v>
      </c>
      <c r="P79" s="4" t="s">
        <v>84</v>
      </c>
      <c r="Q79" s="4" t="s">
        <v>12</v>
      </c>
      <c r="R79" s="4"/>
      <c r="S79" s="4"/>
      <c r="T79" s="4" t="str">
        <f t="shared" si="2"/>
        <v>PMG - BB -  - Tammsaare tee/Sõpruse pst. nurgal, Ülemistesse  - 1</v>
      </c>
      <c r="U79" s="4" t="str">
        <f t="shared" si="3"/>
        <v xml:space="preserve">PMG - BB - Tammsaare tee/Sõpruse pst. nurgal, Ülemistesse </v>
      </c>
      <c r="V79" s="40">
        <v>44562</v>
      </c>
      <c r="W79" s="31"/>
    </row>
    <row r="80" spans="1:23" ht="15" x14ac:dyDescent="0.25">
      <c r="A80" s="4" t="s">
        <v>13</v>
      </c>
      <c r="B80" s="4" t="s">
        <v>12</v>
      </c>
      <c r="C80" s="4"/>
      <c r="D80" s="4"/>
      <c r="E80" s="1" t="s">
        <v>0</v>
      </c>
      <c r="F80" s="1" t="s">
        <v>4</v>
      </c>
      <c r="G80" s="4" t="s">
        <v>310</v>
      </c>
      <c r="H80" s="17">
        <v>1</v>
      </c>
      <c r="I80" s="4" t="s">
        <v>310</v>
      </c>
      <c r="J80" s="4"/>
      <c r="K80" s="4" t="s">
        <v>504</v>
      </c>
      <c r="L80" s="4"/>
      <c r="M80" s="4"/>
      <c r="N80" s="24">
        <v>24.707823000000001</v>
      </c>
      <c r="O80" s="24">
        <v>59.402887999999997</v>
      </c>
      <c r="P80" s="4" t="s">
        <v>85</v>
      </c>
      <c r="Q80" s="4" t="s">
        <v>12</v>
      </c>
      <c r="R80" s="4"/>
      <c r="S80" s="4"/>
      <c r="T80" s="4" t="str">
        <f t="shared" si="2"/>
        <v>PMG - BB -  - Tammsaare tee/Retke tee rist, Ülemistesse - 1</v>
      </c>
      <c r="U80" s="4" t="str">
        <f t="shared" si="3"/>
        <v>PMG - BB - Tammsaare tee/Retke tee rist, Ülemistesse</v>
      </c>
      <c r="V80" s="40">
        <v>44562</v>
      </c>
      <c r="W80" s="31"/>
    </row>
    <row r="81" spans="1:23" ht="15" x14ac:dyDescent="0.25">
      <c r="A81" s="4" t="s">
        <v>13</v>
      </c>
      <c r="B81" s="4" t="s">
        <v>12</v>
      </c>
      <c r="C81" s="4"/>
      <c r="D81" s="4"/>
      <c r="E81" s="1" t="s">
        <v>0</v>
      </c>
      <c r="F81" s="1" t="s">
        <v>4</v>
      </c>
      <c r="G81" s="4" t="s">
        <v>311</v>
      </c>
      <c r="H81" s="17">
        <v>1</v>
      </c>
      <c r="I81" s="4" t="s">
        <v>311</v>
      </c>
      <c r="J81" s="4"/>
      <c r="K81" s="4" t="s">
        <v>504</v>
      </c>
      <c r="L81" s="4"/>
      <c r="M81" s="4"/>
      <c r="N81" s="24">
        <v>24.707823000000001</v>
      </c>
      <c r="O81" s="24">
        <v>59.402887999999997</v>
      </c>
      <c r="P81" s="4" t="s">
        <v>86</v>
      </c>
      <c r="Q81" s="4" t="s">
        <v>12</v>
      </c>
      <c r="R81" s="4"/>
      <c r="S81" s="4"/>
      <c r="T81" s="4" t="str">
        <f t="shared" si="2"/>
        <v>PMG - BB -  - Tammsaare tee/Retke tee rist, Haaberstisse   - 1</v>
      </c>
      <c r="U81" s="4" t="str">
        <f t="shared" si="3"/>
        <v xml:space="preserve">PMG - BB - Tammsaare tee/Retke tee rist, Haaberstisse  </v>
      </c>
      <c r="V81" s="40">
        <v>44562</v>
      </c>
      <c r="W81" s="31"/>
    </row>
    <row r="82" spans="1:23" ht="15" x14ac:dyDescent="0.25">
      <c r="A82" s="4" t="s">
        <v>13</v>
      </c>
      <c r="B82" s="4" t="s">
        <v>12</v>
      </c>
      <c r="C82" s="4"/>
      <c r="D82" s="4"/>
      <c r="E82" s="1" t="s">
        <v>0</v>
      </c>
      <c r="F82" s="1" t="s">
        <v>4</v>
      </c>
      <c r="G82" s="4" t="s">
        <v>312</v>
      </c>
      <c r="H82" s="17">
        <v>1</v>
      </c>
      <c r="I82" s="4" t="s">
        <v>312</v>
      </c>
      <c r="J82" s="4"/>
      <c r="K82" s="4" t="s">
        <v>505</v>
      </c>
      <c r="L82" s="4"/>
      <c r="M82" s="4"/>
      <c r="N82" s="24">
        <v>24.710145000000001</v>
      </c>
      <c r="O82" s="24">
        <v>59.402132000000002</v>
      </c>
      <c r="P82" s="4" t="s">
        <v>87</v>
      </c>
      <c r="Q82" s="4" t="s">
        <v>12</v>
      </c>
      <c r="R82" s="4"/>
      <c r="S82" s="4"/>
      <c r="T82" s="4" t="str">
        <f t="shared" si="2"/>
        <v>PMG - BB -  - Tammsaare tee/Rahumäe ristmik, suund Ülemistesse  - 1</v>
      </c>
      <c r="U82" s="4" t="str">
        <f t="shared" si="3"/>
        <v xml:space="preserve">PMG - BB - Tammsaare tee/Rahumäe ristmik, suund Ülemistesse </v>
      </c>
      <c r="V82" s="40">
        <v>44562</v>
      </c>
      <c r="W82" s="31"/>
    </row>
    <row r="83" spans="1:23" ht="15" x14ac:dyDescent="0.25">
      <c r="A83" s="4" t="s">
        <v>13</v>
      </c>
      <c r="B83" s="4" t="s">
        <v>12</v>
      </c>
      <c r="C83" s="4"/>
      <c r="D83" s="4"/>
      <c r="E83" s="1" t="s">
        <v>0</v>
      </c>
      <c r="F83" s="1" t="s">
        <v>4</v>
      </c>
      <c r="G83" s="4" t="s">
        <v>313</v>
      </c>
      <c r="H83" s="17">
        <v>1</v>
      </c>
      <c r="I83" s="4" t="s">
        <v>313</v>
      </c>
      <c r="J83" s="4"/>
      <c r="K83" s="4" t="s">
        <v>505</v>
      </c>
      <c r="L83" s="4"/>
      <c r="M83" s="4"/>
      <c r="N83" s="24">
        <v>24.710145000000001</v>
      </c>
      <c r="O83" s="24">
        <v>59.402132000000002</v>
      </c>
      <c r="P83" s="4" t="s">
        <v>88</v>
      </c>
      <c r="Q83" s="4" t="s">
        <v>12</v>
      </c>
      <c r="R83" s="4"/>
      <c r="S83" s="4"/>
      <c r="T83" s="4" t="str">
        <f t="shared" si="2"/>
        <v>PMG - BB -  - Tammsaare tee/Rahumäe ristmik, suund Mustamäele - 1</v>
      </c>
      <c r="U83" s="4" t="str">
        <f t="shared" si="3"/>
        <v>PMG - BB - Tammsaare tee/Rahumäe ristmik, suund Mustamäele</v>
      </c>
      <c r="V83" s="40">
        <v>44562</v>
      </c>
      <c r="W83" s="31"/>
    </row>
    <row r="84" spans="1:23" ht="15" x14ac:dyDescent="0.25">
      <c r="A84" s="4" t="s">
        <v>13</v>
      </c>
      <c r="B84" s="4" t="s">
        <v>12</v>
      </c>
      <c r="C84" s="4"/>
      <c r="D84" s="4"/>
      <c r="E84" s="1" t="s">
        <v>0</v>
      </c>
      <c r="F84" s="1" t="s">
        <v>4</v>
      </c>
      <c r="G84" s="4" t="s">
        <v>314</v>
      </c>
      <c r="H84" s="17">
        <v>1</v>
      </c>
      <c r="I84" s="4" t="s">
        <v>314</v>
      </c>
      <c r="J84" s="4"/>
      <c r="K84" s="4" t="s">
        <v>506</v>
      </c>
      <c r="L84" s="4"/>
      <c r="M84" s="4"/>
      <c r="N84" s="24">
        <v>24.715032999999998</v>
      </c>
      <c r="O84" s="24">
        <v>59.402478000000002</v>
      </c>
      <c r="P84" s="4" t="s">
        <v>89</v>
      </c>
      <c r="Q84" s="4" t="s">
        <v>12</v>
      </c>
      <c r="R84" s="4"/>
      <c r="S84" s="4"/>
      <c r="T84" s="4" t="str">
        <f t="shared" si="2"/>
        <v>PMG - BB -  - Tammsaare tee/Tondi Selver, suund Mustamäele - 1</v>
      </c>
      <c r="U84" s="4" t="str">
        <f t="shared" si="3"/>
        <v>PMG - BB - Tammsaare tee/Tondi Selver, suund Mustamäele</v>
      </c>
      <c r="V84" s="40">
        <v>44562</v>
      </c>
      <c r="W84" s="31"/>
    </row>
    <row r="85" spans="1:23" ht="15" x14ac:dyDescent="0.25">
      <c r="A85" s="4" t="s">
        <v>13</v>
      </c>
      <c r="B85" s="4" t="s">
        <v>12</v>
      </c>
      <c r="C85" s="4"/>
      <c r="D85" s="4"/>
      <c r="E85" s="1" t="s">
        <v>0</v>
      </c>
      <c r="F85" s="1" t="s">
        <v>4</v>
      </c>
      <c r="G85" s="4" t="s">
        <v>315</v>
      </c>
      <c r="H85" s="17">
        <v>1</v>
      </c>
      <c r="I85" s="4" t="s">
        <v>315</v>
      </c>
      <c r="J85" s="4"/>
      <c r="K85" s="4" t="s">
        <v>506</v>
      </c>
      <c r="L85" s="4"/>
      <c r="M85" s="4"/>
      <c r="N85" s="24">
        <v>24.715032999999998</v>
      </c>
      <c r="O85" s="24">
        <v>59.402478000000002</v>
      </c>
      <c r="P85" s="4" t="s">
        <v>90</v>
      </c>
      <c r="Q85" s="4" t="s">
        <v>12</v>
      </c>
      <c r="R85" s="4"/>
      <c r="S85" s="4"/>
      <c r="T85" s="4" t="str">
        <f t="shared" si="2"/>
        <v>PMG - BB -  - Tammsaare tee /Tondi Selver suund Ülemistesse - 1</v>
      </c>
      <c r="U85" s="4" t="str">
        <f t="shared" si="3"/>
        <v>PMG - BB - Tammsaare tee /Tondi Selver suund Ülemistesse</v>
      </c>
      <c r="V85" s="40">
        <v>44562</v>
      </c>
      <c r="W85" s="31"/>
    </row>
    <row r="86" spans="1:23" ht="15" x14ac:dyDescent="0.25">
      <c r="A86" s="4" t="s">
        <v>13</v>
      </c>
      <c r="B86" s="4" t="s">
        <v>12</v>
      </c>
      <c r="C86" s="4"/>
      <c r="D86" s="4"/>
      <c r="E86" s="1" t="s">
        <v>0</v>
      </c>
      <c r="F86" s="1" t="s">
        <v>4</v>
      </c>
      <c r="G86" s="4" t="s">
        <v>316</v>
      </c>
      <c r="H86" s="17">
        <v>1</v>
      </c>
      <c r="I86" s="4" t="s">
        <v>316</v>
      </c>
      <c r="J86" s="4"/>
      <c r="K86" s="4" t="s">
        <v>507</v>
      </c>
      <c r="L86" s="4"/>
      <c r="M86" s="4"/>
      <c r="N86" s="24">
        <v>24.684926999999998</v>
      </c>
      <c r="O86" s="24">
        <v>59.408873</v>
      </c>
      <c r="P86" s="4" t="s">
        <v>91</v>
      </c>
      <c r="Q86" s="4" t="s">
        <v>12</v>
      </c>
      <c r="R86" s="4"/>
      <c r="S86" s="4"/>
      <c r="T86" s="4" t="str">
        <f t="shared" si="2"/>
        <v>PMG - BB -  - Mustamäe tee/Tammsaare tee ristmik, kesklinnast - 1</v>
      </c>
      <c r="U86" s="4" t="str">
        <f t="shared" si="3"/>
        <v>PMG - BB - Mustamäe tee/Tammsaare tee ristmik, kesklinnast</v>
      </c>
      <c r="V86" s="40">
        <v>44562</v>
      </c>
      <c r="W86" s="31"/>
    </row>
    <row r="87" spans="1:23" ht="15" x14ac:dyDescent="0.25">
      <c r="A87" s="4" t="s">
        <v>13</v>
      </c>
      <c r="B87" s="4" t="s">
        <v>12</v>
      </c>
      <c r="C87" s="4"/>
      <c r="D87" s="4"/>
      <c r="E87" s="1" t="s">
        <v>0</v>
      </c>
      <c r="F87" s="1" t="s">
        <v>4</v>
      </c>
      <c r="G87" s="4" t="s">
        <v>586</v>
      </c>
      <c r="H87" s="17">
        <v>1</v>
      </c>
      <c r="I87" s="4" t="s">
        <v>586</v>
      </c>
      <c r="J87" s="4"/>
      <c r="K87" s="4" t="s">
        <v>586</v>
      </c>
      <c r="L87" s="4"/>
      <c r="M87" s="4"/>
      <c r="N87" s="24">
        <v>24.686502999999998</v>
      </c>
      <c r="O87" s="24">
        <v>59.410192000000002</v>
      </c>
      <c r="P87" s="4"/>
      <c r="Q87" s="4" t="s">
        <v>12</v>
      </c>
      <c r="R87" s="4"/>
      <c r="S87" s="4"/>
      <c r="T87" s="4" t="str">
        <f t="shared" si="2"/>
        <v>PMG - BB -  - Mustamäe tee 86 - 1</v>
      </c>
      <c r="U87" s="4" t="str">
        <f t="shared" si="3"/>
        <v>PMG - BB - Mustamäe tee 86</v>
      </c>
      <c r="V87" s="40">
        <v>44562</v>
      </c>
      <c r="W87" s="31"/>
    </row>
    <row r="88" spans="1:23" ht="15" x14ac:dyDescent="0.25">
      <c r="A88" s="4" t="s">
        <v>13</v>
      </c>
      <c r="B88" s="4" t="s">
        <v>12</v>
      </c>
      <c r="C88" s="4"/>
      <c r="D88" s="4"/>
      <c r="E88" s="1" t="s">
        <v>0</v>
      </c>
      <c r="F88" s="1" t="s">
        <v>4</v>
      </c>
      <c r="G88" s="4" t="s">
        <v>586</v>
      </c>
      <c r="H88" s="17">
        <v>2</v>
      </c>
      <c r="I88" s="4" t="s">
        <v>586</v>
      </c>
      <c r="J88" s="4"/>
      <c r="K88" s="4" t="s">
        <v>586</v>
      </c>
      <c r="L88" s="4"/>
      <c r="M88" s="4"/>
      <c r="N88" s="24">
        <v>24.686502999999998</v>
      </c>
      <c r="O88" s="24">
        <v>59.410192000000002</v>
      </c>
      <c r="P88" s="4"/>
      <c r="Q88" s="4" t="s">
        <v>12</v>
      </c>
      <c r="R88" s="4"/>
      <c r="S88" s="4"/>
      <c r="T88" s="4" t="str">
        <f t="shared" si="2"/>
        <v>PMG - BB -  - Mustamäe tee 86 - 2</v>
      </c>
      <c r="U88" s="4" t="str">
        <f t="shared" si="3"/>
        <v>PMG - BB - Mustamäe tee 86</v>
      </c>
      <c r="V88" s="40">
        <v>44562</v>
      </c>
      <c r="W88" s="31"/>
    </row>
    <row r="89" spans="1:23" ht="15" x14ac:dyDescent="0.25">
      <c r="A89" s="4" t="s">
        <v>13</v>
      </c>
      <c r="B89" s="4" t="s">
        <v>12</v>
      </c>
      <c r="C89" s="4"/>
      <c r="D89" s="4"/>
      <c r="E89" s="1" t="s">
        <v>0</v>
      </c>
      <c r="F89" s="1" t="s">
        <v>4</v>
      </c>
      <c r="G89" s="4" t="s">
        <v>317</v>
      </c>
      <c r="H89" s="17">
        <v>1</v>
      </c>
      <c r="I89" s="4" t="s">
        <v>317</v>
      </c>
      <c r="J89" s="4"/>
      <c r="K89" s="4" t="s">
        <v>507</v>
      </c>
      <c r="L89" s="4"/>
      <c r="M89" s="4"/>
      <c r="N89" s="24">
        <v>24.684926999999998</v>
      </c>
      <c r="O89" s="24">
        <v>59.408873</v>
      </c>
      <c r="P89" s="4" t="s">
        <v>92</v>
      </c>
      <c r="Q89" s="4" t="s">
        <v>12</v>
      </c>
      <c r="R89" s="4"/>
      <c r="S89" s="4"/>
      <c r="T89" s="4" t="str">
        <f t="shared" si="2"/>
        <v>PMG - BB -  - Mustamäe tee/Tammsaare tee ristmik, kesklinna  - 1</v>
      </c>
      <c r="U89" s="4" t="str">
        <f t="shared" si="3"/>
        <v xml:space="preserve">PMG - BB - Mustamäe tee/Tammsaare tee ristmik, kesklinna </v>
      </c>
      <c r="V89" s="40">
        <v>44562</v>
      </c>
      <c r="W89" s="31"/>
    </row>
    <row r="90" spans="1:23" ht="15" x14ac:dyDescent="0.25">
      <c r="A90" s="4" t="s">
        <v>13</v>
      </c>
      <c r="B90" s="4" t="s">
        <v>12</v>
      </c>
      <c r="C90" s="4"/>
      <c r="D90" s="4"/>
      <c r="E90" s="1" t="s">
        <v>0</v>
      </c>
      <c r="F90" s="1" t="s">
        <v>4</v>
      </c>
      <c r="G90" s="4" t="s">
        <v>318</v>
      </c>
      <c r="H90" s="17">
        <v>1</v>
      </c>
      <c r="I90" s="4" t="s">
        <v>318</v>
      </c>
      <c r="J90" s="4"/>
      <c r="K90" s="4" t="s">
        <v>508</v>
      </c>
      <c r="L90" s="4"/>
      <c r="M90" s="4"/>
      <c r="N90" s="24">
        <v>24.686194</v>
      </c>
      <c r="O90" s="24">
        <v>59.409278999999998</v>
      </c>
      <c r="P90" s="4" t="s">
        <v>93</v>
      </c>
      <c r="Q90" s="4" t="s">
        <v>12</v>
      </c>
      <c r="R90" s="4"/>
      <c r="S90" s="4"/>
      <c r="T90" s="4" t="str">
        <f t="shared" si="2"/>
        <v>PMG - BB -  - Mustamäe tee/Tammsaare tee ristmik, Circkle K, suunaga kesklinna - 1</v>
      </c>
      <c r="U90" s="4" t="str">
        <f t="shared" si="3"/>
        <v>PMG - BB - Mustamäe tee/Tammsaare tee ristmik, Circkle K, suunaga kesklinna</v>
      </c>
      <c r="V90" s="40">
        <v>44562</v>
      </c>
      <c r="W90" s="31"/>
    </row>
    <row r="91" spans="1:23" ht="15" x14ac:dyDescent="0.25">
      <c r="A91" s="4" t="s">
        <v>13</v>
      </c>
      <c r="B91" s="4" t="s">
        <v>12</v>
      </c>
      <c r="C91" s="4"/>
      <c r="D91" s="4"/>
      <c r="E91" s="1" t="s">
        <v>0</v>
      </c>
      <c r="F91" s="1" t="s">
        <v>4</v>
      </c>
      <c r="G91" s="4" t="s">
        <v>319</v>
      </c>
      <c r="H91" s="17">
        <v>1</v>
      </c>
      <c r="I91" s="4" t="s">
        <v>319</v>
      </c>
      <c r="J91" s="4"/>
      <c r="K91" s="4" t="s">
        <v>508</v>
      </c>
      <c r="L91" s="4"/>
      <c r="M91" s="4"/>
      <c r="N91" s="24">
        <v>24.686194</v>
      </c>
      <c r="O91" s="24">
        <v>59.409278999999998</v>
      </c>
      <c r="P91" s="4" t="s">
        <v>94</v>
      </c>
      <c r="Q91" s="4" t="s">
        <v>12</v>
      </c>
      <c r="R91" s="4"/>
      <c r="S91" s="4"/>
      <c r="T91" s="4" t="str">
        <f t="shared" si="2"/>
        <v>PMG - BB -  - Mustamäe tee/Tammsaare tee ristmik, Circkle K, suunaga kesklinnast - 1</v>
      </c>
      <c r="U91" s="4" t="str">
        <f t="shared" si="3"/>
        <v>PMG - BB - Mustamäe tee/Tammsaare tee ristmik, Circkle K, suunaga kesklinnast</v>
      </c>
      <c r="V91" s="40">
        <v>44562</v>
      </c>
      <c r="W91" s="31"/>
    </row>
    <row r="92" spans="1:23" ht="15" x14ac:dyDescent="0.25">
      <c r="A92" s="4" t="s">
        <v>13</v>
      </c>
      <c r="B92" s="4" t="s">
        <v>12</v>
      </c>
      <c r="C92" s="4"/>
      <c r="D92" s="4"/>
      <c r="E92" s="1" t="s">
        <v>0</v>
      </c>
      <c r="F92" s="1" t="s">
        <v>4</v>
      </c>
      <c r="G92" s="4" t="s">
        <v>320</v>
      </c>
      <c r="H92" s="17">
        <v>1</v>
      </c>
      <c r="I92" s="4" t="s">
        <v>320</v>
      </c>
      <c r="J92" s="4"/>
      <c r="K92" s="4" t="s">
        <v>5</v>
      </c>
      <c r="L92" s="4"/>
      <c r="M92" s="4"/>
      <c r="N92" s="24">
        <v>24.689970281475802</v>
      </c>
      <c r="O92" s="24">
        <v>59.413128123592699</v>
      </c>
      <c r="P92" s="4" t="s">
        <v>95</v>
      </c>
      <c r="Q92" s="4" t="s">
        <v>12</v>
      </c>
      <c r="R92" s="4"/>
      <c r="S92" s="4"/>
      <c r="T92" s="4" t="str">
        <f t="shared" si="2"/>
        <v>PMG - BB -  - Mustamäe tee 137, suund kesklinna - 1</v>
      </c>
      <c r="U92" s="4" t="str">
        <f t="shared" si="3"/>
        <v>PMG - BB - Mustamäe tee 137, suund kesklinna</v>
      </c>
      <c r="V92" s="40">
        <v>44562</v>
      </c>
      <c r="W92" s="31"/>
    </row>
    <row r="93" spans="1:23" ht="15" x14ac:dyDescent="0.25">
      <c r="A93" s="4" t="s">
        <v>13</v>
      </c>
      <c r="B93" s="4" t="s">
        <v>12</v>
      </c>
      <c r="C93" s="4"/>
      <c r="D93" s="4"/>
      <c r="E93" s="1" t="s">
        <v>0</v>
      </c>
      <c r="F93" s="1" t="s">
        <v>4</v>
      </c>
      <c r="G93" s="4" t="s">
        <v>321</v>
      </c>
      <c r="H93" s="17">
        <v>1</v>
      </c>
      <c r="I93" s="4" t="s">
        <v>321</v>
      </c>
      <c r="J93" s="4"/>
      <c r="K93" s="4" t="s">
        <v>5</v>
      </c>
      <c r="L93" s="4"/>
      <c r="M93" s="4"/>
      <c r="N93" s="24">
        <v>24.689970281475802</v>
      </c>
      <c r="O93" s="24">
        <v>59.413128123592699</v>
      </c>
      <c r="P93" s="4" t="s">
        <v>96</v>
      </c>
      <c r="Q93" s="4" t="s">
        <v>12</v>
      </c>
      <c r="R93" s="4"/>
      <c r="S93" s="4"/>
      <c r="T93" s="4" t="str">
        <f t="shared" si="2"/>
        <v>PMG - BB -  - Mustamäe tee 137, suund kesklinnast - 1</v>
      </c>
      <c r="U93" s="4" t="str">
        <f t="shared" si="3"/>
        <v>PMG - BB - Mustamäe tee 137, suund kesklinnast</v>
      </c>
      <c r="V93" s="40">
        <v>44562</v>
      </c>
      <c r="W93" s="31"/>
    </row>
    <row r="94" spans="1:23" ht="15" x14ac:dyDescent="0.25">
      <c r="A94" s="4" t="s">
        <v>13</v>
      </c>
      <c r="B94" s="4" t="s">
        <v>12</v>
      </c>
      <c r="C94" s="4"/>
      <c r="D94" s="4"/>
      <c r="E94" s="1" t="s">
        <v>0</v>
      </c>
      <c r="F94" s="1" t="s">
        <v>4</v>
      </c>
      <c r="G94" s="4" t="s">
        <v>322</v>
      </c>
      <c r="H94" s="17">
        <v>1</v>
      </c>
      <c r="I94" s="4" t="s">
        <v>322</v>
      </c>
      <c r="J94" s="4"/>
      <c r="K94" s="4" t="s">
        <v>509</v>
      </c>
      <c r="L94" s="4"/>
      <c r="M94" s="4"/>
      <c r="N94" s="24">
        <v>24.695646</v>
      </c>
      <c r="O94" s="24">
        <v>59.406528999999999</v>
      </c>
      <c r="P94" s="4" t="s">
        <v>97</v>
      </c>
      <c r="Q94" s="4" t="s">
        <v>12</v>
      </c>
      <c r="R94" s="4"/>
      <c r="S94" s="4"/>
      <c r="T94" s="4" t="str">
        <f t="shared" si="2"/>
        <v>PMG - BB -  - Tammsaare tee 81a., suund Rocca al Maresse         - 1</v>
      </c>
      <c r="U94" s="4" t="str">
        <f t="shared" si="3"/>
        <v xml:space="preserve">PMG - BB - Tammsaare tee 81a., suund Rocca al Maresse        </v>
      </c>
      <c r="V94" s="40">
        <v>44562</v>
      </c>
      <c r="W94" s="31"/>
    </row>
    <row r="95" spans="1:23" ht="15" x14ac:dyDescent="0.25">
      <c r="A95" s="4" t="s">
        <v>13</v>
      </c>
      <c r="B95" s="4" t="s">
        <v>12</v>
      </c>
      <c r="C95" s="4"/>
      <c r="D95" s="4"/>
      <c r="E95" s="1" t="s">
        <v>0</v>
      </c>
      <c r="F95" s="1" t="s">
        <v>4</v>
      </c>
      <c r="G95" s="4" t="s">
        <v>323</v>
      </c>
      <c r="H95" s="17">
        <v>1</v>
      </c>
      <c r="I95" s="4" t="s">
        <v>323</v>
      </c>
      <c r="J95" s="4"/>
      <c r="K95" s="4" t="s">
        <v>509</v>
      </c>
      <c r="L95" s="4"/>
      <c r="M95" s="4"/>
      <c r="N95" s="24">
        <v>24.695646</v>
      </c>
      <c r="O95" s="24">
        <v>59.406528999999999</v>
      </c>
      <c r="P95" s="4" t="s">
        <v>98</v>
      </c>
      <c r="Q95" s="4" t="s">
        <v>12</v>
      </c>
      <c r="R95" s="4"/>
      <c r="S95" s="4"/>
      <c r="T95" s="4" t="str">
        <f t="shared" si="2"/>
        <v>PMG - BB -  - Tammsaare tee 81a., suund Järvevana tee poole              - 1</v>
      </c>
      <c r="U95" s="4" t="str">
        <f t="shared" si="3"/>
        <v xml:space="preserve">PMG - BB - Tammsaare tee 81a., suund Järvevana tee poole             </v>
      </c>
      <c r="V95" s="40">
        <v>44562</v>
      </c>
      <c r="W95" s="31"/>
    </row>
    <row r="96" spans="1:23" ht="15" x14ac:dyDescent="0.25">
      <c r="A96" s="4" t="s">
        <v>13</v>
      </c>
      <c r="B96" s="4" t="s">
        <v>12</v>
      </c>
      <c r="C96" s="4"/>
      <c r="D96" s="4"/>
      <c r="E96" s="1" t="s">
        <v>0</v>
      </c>
      <c r="F96" s="1" t="s">
        <v>4</v>
      </c>
      <c r="G96" s="4" t="s">
        <v>587</v>
      </c>
      <c r="H96" s="17">
        <v>1</v>
      </c>
      <c r="I96" s="4" t="s">
        <v>587</v>
      </c>
      <c r="J96" s="4"/>
      <c r="K96" s="4" t="s">
        <v>594</v>
      </c>
      <c r="L96" s="4"/>
      <c r="M96" s="4"/>
      <c r="N96" s="24">
        <v>24.672784</v>
      </c>
      <c r="O96" s="24">
        <v>59.410065000000003</v>
      </c>
      <c r="P96" s="4"/>
      <c r="Q96" s="4" t="s">
        <v>12</v>
      </c>
      <c r="R96" s="4"/>
      <c r="S96" s="4"/>
      <c r="T96" s="4" t="str">
        <f t="shared" si="2"/>
        <v>PMG - BB -  - Tammsaare tee 144c, suund Rocca al Mare poole - 1</v>
      </c>
      <c r="U96" s="4" t="str">
        <f t="shared" si="3"/>
        <v>PMG - BB - Tammsaare tee 144c, suund Rocca al Mare poole</v>
      </c>
      <c r="V96" s="40">
        <v>44562</v>
      </c>
      <c r="W96" s="31"/>
    </row>
    <row r="97" spans="1:23" ht="15" x14ac:dyDescent="0.25">
      <c r="A97" s="4" t="s">
        <v>13</v>
      </c>
      <c r="B97" s="4" t="s">
        <v>12</v>
      </c>
      <c r="C97" s="4"/>
      <c r="D97" s="4"/>
      <c r="E97" s="1" t="s">
        <v>0</v>
      </c>
      <c r="F97" s="1" t="s">
        <v>4</v>
      </c>
      <c r="G97" s="4" t="s">
        <v>588</v>
      </c>
      <c r="H97" s="17">
        <v>1</v>
      </c>
      <c r="I97" s="4" t="s">
        <v>588</v>
      </c>
      <c r="J97" s="4"/>
      <c r="K97" s="4" t="s">
        <v>594</v>
      </c>
      <c r="L97" s="4"/>
      <c r="M97" s="4"/>
      <c r="N97" s="24">
        <v>24.672784</v>
      </c>
      <c r="O97" s="24">
        <v>59.410065000000003</v>
      </c>
      <c r="P97" s="4"/>
      <c r="Q97" s="4" t="s">
        <v>12</v>
      </c>
      <c r="R97" s="4"/>
      <c r="S97" s="4"/>
      <c r="T97" s="4" t="str">
        <f t="shared" si="2"/>
        <v>PMG - BB -  - Tammsaare tee 144c, suund Järvevana tee poole - 1</v>
      </c>
      <c r="U97" s="4" t="str">
        <f t="shared" si="3"/>
        <v>PMG - BB - Tammsaare tee 144c, suund Järvevana tee poole</v>
      </c>
      <c r="V97" s="40">
        <v>44562</v>
      </c>
      <c r="W97" s="31"/>
    </row>
    <row r="98" spans="1:23" ht="15" x14ac:dyDescent="0.25">
      <c r="A98" s="4" t="s">
        <v>13</v>
      </c>
      <c r="B98" s="4" t="s">
        <v>12</v>
      </c>
      <c r="C98" s="4"/>
      <c r="D98" s="4"/>
      <c r="E98" s="1" t="s">
        <v>0</v>
      </c>
      <c r="F98" s="1" t="s">
        <v>4</v>
      </c>
      <c r="G98" s="4" t="s">
        <v>324</v>
      </c>
      <c r="H98" s="17">
        <v>1</v>
      </c>
      <c r="I98" s="4" t="s">
        <v>324</v>
      </c>
      <c r="J98" s="4"/>
      <c r="K98" s="4" t="s">
        <v>510</v>
      </c>
      <c r="L98" s="4"/>
      <c r="M98" s="4"/>
      <c r="N98" s="24">
        <v>24.666990999999999</v>
      </c>
      <c r="O98" s="24">
        <v>59.412021000000003</v>
      </c>
      <c r="P98" s="4" t="s">
        <v>99</v>
      </c>
      <c r="Q98" s="4" t="s">
        <v>12</v>
      </c>
      <c r="R98" s="4"/>
      <c r="S98" s="4"/>
      <c r="T98" s="4" t="str">
        <f t="shared" si="2"/>
        <v>PMG - BB -  - Kadaka Selveri (Tammsaare tee/Ehitajate tee/Kadaka tee ristmik), Haaberstisse       - 1</v>
      </c>
      <c r="U98" s="4" t="str">
        <f t="shared" si="3"/>
        <v xml:space="preserve">PMG - BB - Kadaka Selveri (Tammsaare tee/Ehitajate tee/Kadaka tee ristmik), Haaberstisse      </v>
      </c>
      <c r="V98" s="40">
        <v>44562</v>
      </c>
      <c r="W98" s="31"/>
    </row>
    <row r="99" spans="1:23" ht="15" x14ac:dyDescent="0.25">
      <c r="A99" s="4" t="s">
        <v>13</v>
      </c>
      <c r="B99" s="4" t="s">
        <v>12</v>
      </c>
      <c r="C99" s="4"/>
      <c r="D99" s="4"/>
      <c r="E99" s="1" t="s">
        <v>0</v>
      </c>
      <c r="F99" s="1" t="s">
        <v>4</v>
      </c>
      <c r="G99" s="4" t="s">
        <v>325</v>
      </c>
      <c r="H99" s="17">
        <v>1</v>
      </c>
      <c r="I99" s="4" t="s">
        <v>325</v>
      </c>
      <c r="J99" s="4"/>
      <c r="K99" s="4" t="s">
        <v>510</v>
      </c>
      <c r="L99" s="4"/>
      <c r="M99" s="4"/>
      <c r="N99" s="24">
        <v>24.666990999999999</v>
      </c>
      <c r="O99" s="24">
        <v>59.412021000000003</v>
      </c>
      <c r="P99" s="4" t="s">
        <v>100</v>
      </c>
      <c r="Q99" s="4" t="s">
        <v>12</v>
      </c>
      <c r="R99" s="4"/>
      <c r="S99" s="4"/>
      <c r="T99" s="4" t="str">
        <f t="shared" si="2"/>
        <v>PMG - BB -  - Kadaka Selver, suund Haaberstist     - 1</v>
      </c>
      <c r="U99" s="4" t="str">
        <f t="shared" si="3"/>
        <v xml:space="preserve">PMG - BB - Kadaka Selver, suund Haaberstist    </v>
      </c>
      <c r="V99" s="40">
        <v>44562</v>
      </c>
      <c r="W99" s="31"/>
    </row>
    <row r="100" spans="1:23" ht="15" x14ac:dyDescent="0.25">
      <c r="A100" s="4" t="s">
        <v>13</v>
      </c>
      <c r="B100" s="4" t="s">
        <v>12</v>
      </c>
      <c r="C100" s="4"/>
      <c r="D100" s="4"/>
      <c r="E100" s="1" t="s">
        <v>0</v>
      </c>
      <c r="F100" s="1" t="s">
        <v>3</v>
      </c>
      <c r="G100" s="4" t="s">
        <v>326</v>
      </c>
      <c r="H100" s="17">
        <v>1</v>
      </c>
      <c r="I100" s="4" t="s">
        <v>326</v>
      </c>
      <c r="J100" s="4"/>
      <c r="K100" s="4" t="s">
        <v>511</v>
      </c>
      <c r="L100" s="4"/>
      <c r="M100" s="4"/>
      <c r="N100" s="24">
        <v>24.630120000000002</v>
      </c>
      <c r="O100" s="24">
        <v>59.361238999999998</v>
      </c>
      <c r="P100" s="4" t="s">
        <v>101</v>
      </c>
      <c r="Q100" s="4" t="s">
        <v>12</v>
      </c>
      <c r="R100" s="4"/>
      <c r="S100" s="4"/>
      <c r="T100" s="4" t="str">
        <f t="shared" si="2"/>
        <v>PMG - BB -  - Pärnu mnt 453h, kesklinna  - 1</v>
      </c>
      <c r="U100" s="4" t="str">
        <f t="shared" si="3"/>
        <v xml:space="preserve">PMG - BB - Pärnu mnt 453h, kesklinna </v>
      </c>
      <c r="V100" s="40">
        <v>44562</v>
      </c>
      <c r="W100" s="31"/>
    </row>
    <row r="101" spans="1:23" ht="15" x14ac:dyDescent="0.25">
      <c r="A101" s="4" t="s">
        <v>13</v>
      </c>
      <c r="B101" s="4" t="s">
        <v>12</v>
      </c>
      <c r="C101" s="4"/>
      <c r="D101" s="4"/>
      <c r="E101" s="1" t="s">
        <v>0</v>
      </c>
      <c r="F101" s="1" t="s">
        <v>3</v>
      </c>
      <c r="G101" s="4" t="s">
        <v>327</v>
      </c>
      <c r="H101" s="17">
        <v>1</v>
      </c>
      <c r="I101" s="4" t="s">
        <v>327</v>
      </c>
      <c r="J101" s="4"/>
      <c r="K101" s="4" t="s">
        <v>511</v>
      </c>
      <c r="L101" s="4"/>
      <c r="M101" s="4"/>
      <c r="N101" s="24">
        <v>24.630120000000002</v>
      </c>
      <c r="O101" s="24">
        <v>59.361238999999998</v>
      </c>
      <c r="P101" s="4" t="s">
        <v>102</v>
      </c>
      <c r="Q101" s="4" t="s">
        <v>12</v>
      </c>
      <c r="R101" s="4"/>
      <c r="S101" s="4"/>
      <c r="T101" s="4" t="str">
        <f t="shared" si="2"/>
        <v>PMG - BB -  - Pärnu mnt 453h, kesklinnast                               - 1</v>
      </c>
      <c r="U101" s="4" t="str">
        <f t="shared" si="3"/>
        <v xml:space="preserve">PMG - BB - Pärnu mnt 453h, kesklinnast                              </v>
      </c>
      <c r="V101" s="40">
        <v>44562</v>
      </c>
      <c r="W101" s="31"/>
    </row>
    <row r="102" spans="1:23" ht="15" x14ac:dyDescent="0.25">
      <c r="A102" s="4" t="s">
        <v>13</v>
      </c>
      <c r="B102" s="4" t="s">
        <v>12</v>
      </c>
      <c r="C102" s="4"/>
      <c r="D102" s="4"/>
      <c r="E102" s="1" t="s">
        <v>0</v>
      </c>
      <c r="F102" s="1" t="s">
        <v>3</v>
      </c>
      <c r="G102" s="4" t="s">
        <v>328</v>
      </c>
      <c r="H102" s="17">
        <v>1</v>
      </c>
      <c r="I102" s="4" t="s">
        <v>328</v>
      </c>
      <c r="J102" s="4"/>
      <c r="K102" s="4" t="s">
        <v>512</v>
      </c>
      <c r="L102" s="4"/>
      <c r="M102" s="4"/>
      <c r="N102" s="24">
        <v>24.629511999999998</v>
      </c>
      <c r="O102" s="24">
        <v>59.360377999999997</v>
      </c>
      <c r="P102" s="4" t="s">
        <v>103</v>
      </c>
      <c r="Q102" s="4" t="s">
        <v>12</v>
      </c>
      <c r="R102" s="4"/>
      <c r="S102" s="4"/>
      <c r="T102" s="4" t="str">
        <f t="shared" si="2"/>
        <v>PMG - BB -  - Pärnu mnt. Pääsküla Selveri ees, suunaga kesklinnast  - 1</v>
      </c>
      <c r="U102" s="4" t="str">
        <f t="shared" si="3"/>
        <v xml:space="preserve">PMG - BB - Pärnu mnt. Pääsküla Selveri ees, suunaga kesklinnast </v>
      </c>
      <c r="V102" s="40">
        <v>44562</v>
      </c>
      <c r="W102" s="31"/>
    </row>
    <row r="103" spans="1:23" ht="15" x14ac:dyDescent="0.25">
      <c r="A103" s="4" t="s">
        <v>13</v>
      </c>
      <c r="B103" s="4" t="s">
        <v>12</v>
      </c>
      <c r="C103" s="4"/>
      <c r="D103" s="4"/>
      <c r="E103" s="1" t="s">
        <v>0</v>
      </c>
      <c r="F103" s="1" t="s">
        <v>3</v>
      </c>
      <c r="G103" s="4" t="s">
        <v>329</v>
      </c>
      <c r="H103" s="17">
        <v>1</v>
      </c>
      <c r="I103" s="4" t="s">
        <v>329</v>
      </c>
      <c r="J103" s="4"/>
      <c r="K103" s="4" t="s">
        <v>512</v>
      </c>
      <c r="L103" s="4"/>
      <c r="M103" s="4"/>
      <c r="N103" s="24">
        <v>24.629511999999998</v>
      </c>
      <c r="O103" s="24">
        <v>59.360377999999997</v>
      </c>
      <c r="P103" s="4" t="s">
        <v>104</v>
      </c>
      <c r="Q103" s="4" t="s">
        <v>12</v>
      </c>
      <c r="R103" s="4"/>
      <c r="S103" s="4"/>
      <c r="T103" s="4" t="str">
        <f t="shared" si="2"/>
        <v>PMG - BB -  - Pärnu mnt.  Pääsküla Selveri ees, suunaga kesklinna  - 1</v>
      </c>
      <c r="U103" s="4" t="str">
        <f t="shared" si="3"/>
        <v xml:space="preserve">PMG - BB - Pärnu mnt.  Pääsküla Selveri ees, suunaga kesklinna </v>
      </c>
      <c r="V103" s="40">
        <v>44562</v>
      </c>
      <c r="W103" s="31"/>
    </row>
    <row r="104" spans="1:23" ht="15" x14ac:dyDescent="0.25">
      <c r="A104" s="4" t="s">
        <v>13</v>
      </c>
      <c r="B104" s="4" t="s">
        <v>12</v>
      </c>
      <c r="C104" s="4"/>
      <c r="D104" s="4"/>
      <c r="E104" s="1" t="s">
        <v>0</v>
      </c>
      <c r="F104" s="1" t="s">
        <v>3</v>
      </c>
      <c r="G104" s="4" t="s">
        <v>330</v>
      </c>
      <c r="H104" s="17">
        <v>1</v>
      </c>
      <c r="I104" s="4" t="s">
        <v>330</v>
      </c>
      <c r="J104" s="4"/>
      <c r="K104" s="4" t="s">
        <v>513</v>
      </c>
      <c r="L104" s="4"/>
      <c r="M104" s="4"/>
      <c r="N104" s="24">
        <v>24.673317000000001</v>
      </c>
      <c r="O104" s="24">
        <v>59.394342000000002</v>
      </c>
      <c r="P104" s="4" t="s">
        <v>105</v>
      </c>
      <c r="Q104" s="4" t="s">
        <v>12</v>
      </c>
      <c r="R104" s="4"/>
      <c r="S104" s="4"/>
      <c r="T104" s="4" t="str">
        <f t="shared" si="2"/>
        <v>PMG - BB -  - Ehitajate tee TTÜ bussipeatus, suunaga Nõmmele - 1</v>
      </c>
      <c r="U104" s="4" t="str">
        <f t="shared" si="3"/>
        <v>PMG - BB - Ehitajate tee TTÜ bussipeatus, suunaga Nõmmele</v>
      </c>
      <c r="V104" s="40">
        <v>44562</v>
      </c>
      <c r="W104" s="31"/>
    </row>
    <row r="105" spans="1:23" ht="15" x14ac:dyDescent="0.25">
      <c r="A105" s="4" t="s">
        <v>13</v>
      </c>
      <c r="B105" s="4" t="s">
        <v>12</v>
      </c>
      <c r="C105" s="4"/>
      <c r="D105" s="4"/>
      <c r="E105" s="1" t="s">
        <v>0</v>
      </c>
      <c r="F105" s="1" t="s">
        <v>3</v>
      </c>
      <c r="G105" s="4" t="s">
        <v>331</v>
      </c>
      <c r="H105" s="17">
        <v>1</v>
      </c>
      <c r="I105" s="4" t="s">
        <v>331</v>
      </c>
      <c r="J105" s="4"/>
      <c r="K105" s="4" t="s">
        <v>513</v>
      </c>
      <c r="L105" s="4"/>
      <c r="M105" s="4"/>
      <c r="N105" s="24">
        <v>24.673317000000001</v>
      </c>
      <c r="O105" s="24">
        <v>59.394342000000002</v>
      </c>
      <c r="P105" s="4" t="s">
        <v>106</v>
      </c>
      <c r="Q105" s="4" t="s">
        <v>12</v>
      </c>
      <c r="R105" s="4"/>
      <c r="S105" s="4"/>
      <c r="T105" s="4" t="str">
        <f t="shared" si="2"/>
        <v>PMG - BB -  - Ehitajate tee TTÜ bussipeatus, suunaga Mustamäele - 1</v>
      </c>
      <c r="U105" s="4" t="str">
        <f t="shared" si="3"/>
        <v>PMG - BB - Ehitajate tee TTÜ bussipeatus, suunaga Mustamäele</v>
      </c>
      <c r="V105" s="40">
        <v>44562</v>
      </c>
      <c r="W105" s="31"/>
    </row>
    <row r="106" spans="1:23" ht="15" x14ac:dyDescent="0.25">
      <c r="A106" s="4" t="s">
        <v>13</v>
      </c>
      <c r="B106" s="4" t="s">
        <v>12</v>
      </c>
      <c r="C106" s="4"/>
      <c r="D106" s="4"/>
      <c r="E106" s="1" t="s">
        <v>0</v>
      </c>
      <c r="F106" s="1" t="s">
        <v>3</v>
      </c>
      <c r="G106" s="4" t="s">
        <v>332</v>
      </c>
      <c r="H106" s="17">
        <v>1</v>
      </c>
      <c r="I106" s="4" t="s">
        <v>332</v>
      </c>
      <c r="J106" s="4"/>
      <c r="K106" s="4" t="s">
        <v>514</v>
      </c>
      <c r="L106" s="4"/>
      <c r="M106" s="4"/>
      <c r="N106" s="24">
        <v>24.717686</v>
      </c>
      <c r="O106" s="24">
        <v>59.387776000000002</v>
      </c>
      <c r="P106" s="4" t="s">
        <v>107</v>
      </c>
      <c r="Q106" s="4" t="s">
        <v>12</v>
      </c>
      <c r="R106" s="4"/>
      <c r="S106" s="4"/>
      <c r="T106" s="4" t="str">
        <f t="shared" si="2"/>
        <v>PMG - BB -  - Vabaduse pst. ja Männiku tee ristmik   * parempoolne, vabaduse - 1</v>
      </c>
      <c r="U106" s="4" t="str">
        <f t="shared" si="3"/>
        <v>PMG - BB - Vabaduse pst. ja Männiku tee ristmik   * parempoolne, vabaduse</v>
      </c>
      <c r="V106" s="40">
        <v>44562</v>
      </c>
      <c r="W106" s="31"/>
    </row>
    <row r="107" spans="1:23" ht="15" x14ac:dyDescent="0.25">
      <c r="A107" s="4" t="s">
        <v>13</v>
      </c>
      <c r="B107" s="4" t="s">
        <v>12</v>
      </c>
      <c r="C107" s="4"/>
      <c r="D107" s="4"/>
      <c r="E107" s="1" t="s">
        <v>0</v>
      </c>
      <c r="F107" s="1" t="s">
        <v>3</v>
      </c>
      <c r="G107" s="4" t="s">
        <v>333</v>
      </c>
      <c r="H107" s="17">
        <v>1</v>
      </c>
      <c r="I107" s="4" t="s">
        <v>333</v>
      </c>
      <c r="J107" s="4"/>
      <c r="K107" s="4" t="s">
        <v>514</v>
      </c>
      <c r="L107" s="4"/>
      <c r="M107" s="4"/>
      <c r="N107" s="24">
        <v>24.717927</v>
      </c>
      <c r="O107" s="24">
        <v>59.387681000000001</v>
      </c>
      <c r="P107" s="4" t="s">
        <v>108</v>
      </c>
      <c r="Q107" s="4" t="s">
        <v>12</v>
      </c>
      <c r="R107" s="4"/>
      <c r="S107" s="4"/>
      <c r="T107" s="4" t="str">
        <f t="shared" si="2"/>
        <v>PMG - BB -  - Männiku tee ja Vabaduse pst ristmik * vasakpoolne, männiku - 1</v>
      </c>
      <c r="U107" s="4" t="str">
        <f t="shared" si="3"/>
        <v>PMG - BB - Männiku tee ja Vabaduse pst ristmik * vasakpoolne, männiku</v>
      </c>
      <c r="V107" s="40">
        <v>44562</v>
      </c>
      <c r="W107" s="31"/>
    </row>
    <row r="108" spans="1:23" ht="15" x14ac:dyDescent="0.25">
      <c r="A108" s="4" t="s">
        <v>13</v>
      </c>
      <c r="B108" s="4" t="s">
        <v>12</v>
      </c>
      <c r="C108" s="4"/>
      <c r="D108" s="4"/>
      <c r="E108" s="1" t="s">
        <v>0</v>
      </c>
      <c r="F108" s="1" t="s">
        <v>1</v>
      </c>
      <c r="G108" s="4" t="s">
        <v>334</v>
      </c>
      <c r="H108" s="17">
        <v>1</v>
      </c>
      <c r="I108" s="4" t="s">
        <v>334</v>
      </c>
      <c r="J108" s="4"/>
      <c r="K108" s="4" t="s">
        <v>515</v>
      </c>
      <c r="L108" s="4"/>
      <c r="M108" s="4"/>
      <c r="N108" s="24">
        <v>24.725275</v>
      </c>
      <c r="O108" s="24">
        <v>59.428655999999997</v>
      </c>
      <c r="P108" s="4" t="s">
        <v>109</v>
      </c>
      <c r="Q108" s="4" t="s">
        <v>12</v>
      </c>
      <c r="R108" s="4"/>
      <c r="S108" s="4"/>
      <c r="T108" s="4" t="str">
        <f t="shared" si="2"/>
        <v>PMG - BB -  - Tehnika/Endla tn.rist, Kristiine viadukti kallakul, suund Kristiinesse - 1</v>
      </c>
      <c r="U108" s="4" t="str">
        <f t="shared" si="3"/>
        <v>PMG - BB - Tehnika/Endla tn.rist, Kristiine viadukti kallakul, suund Kristiinesse</v>
      </c>
      <c r="V108" s="40">
        <v>44562</v>
      </c>
      <c r="W108" s="31"/>
    </row>
    <row r="109" spans="1:23" ht="15" x14ac:dyDescent="0.25">
      <c r="A109" s="4" t="s">
        <v>13</v>
      </c>
      <c r="B109" s="4" t="s">
        <v>12</v>
      </c>
      <c r="C109" s="4"/>
      <c r="D109" s="4"/>
      <c r="E109" s="1" t="s">
        <v>0</v>
      </c>
      <c r="F109" s="1" t="s">
        <v>1</v>
      </c>
      <c r="G109" s="4" t="s">
        <v>335</v>
      </c>
      <c r="H109" s="17">
        <v>1</v>
      </c>
      <c r="I109" s="4" t="s">
        <v>335</v>
      </c>
      <c r="J109" s="4"/>
      <c r="K109" s="4" t="s">
        <v>516</v>
      </c>
      <c r="L109" s="4"/>
      <c r="M109" s="4"/>
      <c r="N109" s="24">
        <v>24.770247999999999</v>
      </c>
      <c r="O109" s="24">
        <v>59.438569100000002</v>
      </c>
      <c r="P109" s="4" t="s">
        <v>110</v>
      </c>
      <c r="Q109" s="4" t="s">
        <v>12</v>
      </c>
      <c r="R109" s="4"/>
      <c r="S109" s="4"/>
      <c r="T109" s="4" t="str">
        <f t="shared" si="2"/>
        <v>PMG - BB -  - Narva mnt 23, (mõõt 6X3m)  - 1</v>
      </c>
      <c r="U109" s="4" t="str">
        <f t="shared" si="3"/>
        <v xml:space="preserve">PMG - BB - Narva mnt 23, (mõõt 6X3m) </v>
      </c>
      <c r="V109" s="40">
        <v>44562</v>
      </c>
      <c r="W109" s="31"/>
    </row>
    <row r="110" spans="1:23" ht="15" x14ac:dyDescent="0.25">
      <c r="A110" s="4" t="s">
        <v>13</v>
      </c>
      <c r="B110" s="4" t="s">
        <v>12</v>
      </c>
      <c r="C110" s="4"/>
      <c r="D110" s="4"/>
      <c r="E110" s="1" t="s">
        <v>0</v>
      </c>
      <c r="F110" s="1" t="s">
        <v>1</v>
      </c>
      <c r="G110" s="4" t="s">
        <v>336</v>
      </c>
      <c r="H110" s="17">
        <v>1</v>
      </c>
      <c r="I110" s="4" t="s">
        <v>336</v>
      </c>
      <c r="J110" s="4"/>
      <c r="K110" s="4" t="s">
        <v>517</v>
      </c>
      <c r="L110" s="4"/>
      <c r="M110" s="4"/>
      <c r="N110" s="24">
        <v>24.758899</v>
      </c>
      <c r="O110" s="24">
        <v>59.440021999999999</v>
      </c>
      <c r="P110" s="4" t="s">
        <v>595</v>
      </c>
      <c r="Q110" s="4" t="s">
        <v>12</v>
      </c>
      <c r="R110" s="4"/>
      <c r="S110" s="4"/>
      <c r="T110" s="4" t="str">
        <f t="shared" si="2"/>
        <v>PMG - BB -  - Ahtri 6 suund linna - 1</v>
      </c>
      <c r="U110" s="4" t="str">
        <f t="shared" si="3"/>
        <v>PMG - BB - Ahtri 6 suund linna</v>
      </c>
      <c r="V110" s="40">
        <v>44562</v>
      </c>
      <c r="W110" s="31"/>
    </row>
    <row r="111" spans="1:23" ht="15" x14ac:dyDescent="0.25">
      <c r="A111" s="4" t="s">
        <v>13</v>
      </c>
      <c r="B111" s="4" t="s">
        <v>12</v>
      </c>
      <c r="C111" s="4"/>
      <c r="D111" s="4"/>
      <c r="E111" s="1" t="s">
        <v>0</v>
      </c>
      <c r="F111" s="1" t="s">
        <v>1</v>
      </c>
      <c r="G111" s="4" t="s">
        <v>337</v>
      </c>
      <c r="H111" s="17">
        <v>1</v>
      </c>
      <c r="I111" s="4" t="s">
        <v>337</v>
      </c>
      <c r="J111" s="4"/>
      <c r="K111" s="4" t="s">
        <v>518</v>
      </c>
      <c r="L111" s="4"/>
      <c r="M111" s="4"/>
      <c r="N111" s="24">
        <v>24.734468</v>
      </c>
      <c r="O111" s="24">
        <v>59.427782000000001</v>
      </c>
      <c r="P111" s="4" t="s">
        <v>111</v>
      </c>
      <c r="Q111" s="4" t="s">
        <v>12</v>
      </c>
      <c r="R111" s="4"/>
      <c r="S111" s="4"/>
      <c r="T111" s="4" t="str">
        <f t="shared" si="2"/>
        <v>PMG - BB -  - Suur-Ameerika 35 kesklinna pool (mõõt 6x3m), suund Kristiinesse - 1</v>
      </c>
      <c r="U111" s="4" t="str">
        <f t="shared" si="3"/>
        <v>PMG - BB - Suur-Ameerika 35 kesklinna pool (mõõt 6x3m), suund Kristiinesse</v>
      </c>
      <c r="V111" s="40">
        <v>44562</v>
      </c>
      <c r="W111" s="31"/>
    </row>
    <row r="112" spans="1:23" ht="15" x14ac:dyDescent="0.25">
      <c r="A112" s="4" t="s">
        <v>13</v>
      </c>
      <c r="B112" s="4" t="s">
        <v>12</v>
      </c>
      <c r="C112" s="4"/>
      <c r="D112" s="4"/>
      <c r="E112" s="1" t="s">
        <v>0</v>
      </c>
      <c r="F112" s="1" t="s">
        <v>1</v>
      </c>
      <c r="G112" s="4" t="s">
        <v>338</v>
      </c>
      <c r="H112" s="17">
        <v>1</v>
      </c>
      <c r="I112" s="4" t="s">
        <v>338</v>
      </c>
      <c r="J112" s="4"/>
      <c r="K112" s="4" t="s">
        <v>519</v>
      </c>
      <c r="L112" s="4"/>
      <c r="M112" s="4"/>
      <c r="N112" s="24">
        <v>24.777139999999999</v>
      </c>
      <c r="O112" s="24">
        <v>59.428170999999999</v>
      </c>
      <c r="P112" s="4" t="s">
        <v>112</v>
      </c>
      <c r="Q112" s="4" t="s">
        <v>12</v>
      </c>
      <c r="R112" s="4"/>
      <c r="S112" s="4"/>
      <c r="T112" s="4" t="str">
        <f t="shared" si="2"/>
        <v>PMG - BB -  - Tartu mnt 75 ees, suund kesklinna (Europarklas) - 1</v>
      </c>
      <c r="U112" s="4" t="str">
        <f t="shared" si="3"/>
        <v>PMG - BB - Tartu mnt 75 ees, suund kesklinna (Europarklas)</v>
      </c>
      <c r="V112" s="40">
        <v>44562</v>
      </c>
      <c r="W112" s="31"/>
    </row>
    <row r="113" spans="1:23" ht="15" x14ac:dyDescent="0.25">
      <c r="A113" s="4" t="s">
        <v>13</v>
      </c>
      <c r="B113" s="4" t="s">
        <v>12</v>
      </c>
      <c r="C113" s="4"/>
      <c r="D113" s="4"/>
      <c r="E113" s="1" t="s">
        <v>0</v>
      </c>
      <c r="F113" s="1" t="s">
        <v>1</v>
      </c>
      <c r="G113" s="4" t="s">
        <v>339</v>
      </c>
      <c r="H113" s="17">
        <v>1</v>
      </c>
      <c r="I113" s="4" t="s">
        <v>339</v>
      </c>
      <c r="J113" s="4"/>
      <c r="K113" s="4" t="s">
        <v>519</v>
      </c>
      <c r="L113" s="4"/>
      <c r="M113" s="4"/>
      <c r="N113" s="24">
        <v>24.777139999999999</v>
      </c>
      <c r="O113" s="24">
        <v>59.428170999999999</v>
      </c>
      <c r="P113" s="4" t="s">
        <v>113</v>
      </c>
      <c r="Q113" s="4" t="s">
        <v>12</v>
      </c>
      <c r="R113" s="4"/>
      <c r="S113" s="4"/>
      <c r="T113" s="4" t="str">
        <f t="shared" si="2"/>
        <v>PMG - BB -  - Tartu mnt 75 ees, suund kesklinnast (Europarklas) - 1</v>
      </c>
      <c r="U113" s="4" t="str">
        <f t="shared" si="3"/>
        <v>PMG - BB - Tartu mnt 75 ees, suund kesklinnast (Europarklas)</v>
      </c>
      <c r="V113" s="40">
        <v>44562</v>
      </c>
      <c r="W113" s="31"/>
    </row>
    <row r="114" spans="1:23" ht="15" x14ac:dyDescent="0.25">
      <c r="A114" s="4" t="s">
        <v>13</v>
      </c>
      <c r="B114" s="4" t="s">
        <v>12</v>
      </c>
      <c r="C114" s="4"/>
      <c r="D114" s="4"/>
      <c r="E114" s="1" t="s">
        <v>0</v>
      </c>
      <c r="F114" s="1" t="s">
        <v>1</v>
      </c>
      <c r="G114" s="4" t="s">
        <v>340</v>
      </c>
      <c r="H114" s="17">
        <v>1</v>
      </c>
      <c r="I114" s="4" t="s">
        <v>340</v>
      </c>
      <c r="J114" s="4"/>
      <c r="K114" s="4" t="s">
        <v>520</v>
      </c>
      <c r="L114" s="4"/>
      <c r="M114" s="4"/>
      <c r="N114" s="24">
        <v>24.781364</v>
      </c>
      <c r="O114" s="24">
        <v>59.426051000000001</v>
      </c>
      <c r="P114" s="4" t="s">
        <v>114</v>
      </c>
      <c r="Q114" s="4" t="s">
        <v>12</v>
      </c>
      <c r="R114" s="4"/>
      <c r="S114" s="4"/>
      <c r="T114" s="4" t="str">
        <f t="shared" si="2"/>
        <v>PMG - BB -  - Tartu mnt. Sikupilli Keskuse ees (Fahle vastas),  suund kesklinna - 1</v>
      </c>
      <c r="U114" s="4" t="str">
        <f t="shared" si="3"/>
        <v>PMG - BB - Tartu mnt. Sikupilli Keskuse ees (Fahle vastas),  suund kesklinna</v>
      </c>
      <c r="V114" s="40">
        <v>44562</v>
      </c>
      <c r="W114" s="31"/>
    </row>
    <row r="115" spans="1:23" ht="15" x14ac:dyDescent="0.25">
      <c r="A115" s="4" t="s">
        <v>13</v>
      </c>
      <c r="B115" s="4" t="s">
        <v>12</v>
      </c>
      <c r="C115" s="4"/>
      <c r="D115" s="4"/>
      <c r="E115" s="1" t="s">
        <v>0</v>
      </c>
      <c r="F115" s="1" t="s">
        <v>1</v>
      </c>
      <c r="G115" s="4" t="s">
        <v>341</v>
      </c>
      <c r="H115" s="17">
        <v>1</v>
      </c>
      <c r="I115" s="4" t="s">
        <v>341</v>
      </c>
      <c r="J115" s="4"/>
      <c r="K115" s="4" t="s">
        <v>520</v>
      </c>
      <c r="L115" s="4"/>
      <c r="M115" s="4"/>
      <c r="N115" s="24">
        <v>24.781364</v>
      </c>
      <c r="O115" s="24">
        <v>59.426051000000001</v>
      </c>
      <c r="P115" s="4" t="s">
        <v>115</v>
      </c>
      <c r="Q115" s="4" t="s">
        <v>12</v>
      </c>
      <c r="R115" s="4"/>
      <c r="S115" s="4"/>
      <c r="T115" s="4" t="str">
        <f t="shared" si="2"/>
        <v>PMG - BB -  - Tartu mnt. Sikupilli Keskuse ees (Fahle vastas), suund kesklinnast - 1</v>
      </c>
      <c r="U115" s="4" t="str">
        <f t="shared" si="3"/>
        <v>PMG - BB - Tartu mnt. Sikupilli Keskuse ees (Fahle vastas), suund kesklinnast</v>
      </c>
      <c r="V115" s="40">
        <v>44562</v>
      </c>
      <c r="W115" s="31"/>
    </row>
    <row r="116" spans="1:23" ht="15" x14ac:dyDescent="0.25">
      <c r="A116" s="4" t="s">
        <v>13</v>
      </c>
      <c r="B116" s="4" t="s">
        <v>12</v>
      </c>
      <c r="C116" s="4"/>
      <c r="D116" s="4"/>
      <c r="E116" s="1" t="s">
        <v>0</v>
      </c>
      <c r="F116" s="1" t="s">
        <v>1</v>
      </c>
      <c r="G116" s="4" t="s">
        <v>342</v>
      </c>
      <c r="H116" s="17">
        <v>1</v>
      </c>
      <c r="I116" s="4" t="s">
        <v>342</v>
      </c>
      <c r="J116" s="4"/>
      <c r="K116" s="4" t="s">
        <v>521</v>
      </c>
      <c r="L116" s="4"/>
      <c r="M116" s="4"/>
      <c r="N116" s="24">
        <v>24.782874</v>
      </c>
      <c r="O116" s="24">
        <v>59.425511</v>
      </c>
      <c r="P116" s="4" t="s">
        <v>116</v>
      </c>
      <c r="Q116" s="4" t="s">
        <v>12</v>
      </c>
      <c r="R116" s="4"/>
      <c r="S116" s="4"/>
      <c r="T116" s="4" t="str">
        <f t="shared" si="2"/>
        <v>PMG - BB -  - Tartu mnt 87, Sikupilli Keskuse ees (Prisma), suund kesklinna - 1</v>
      </c>
      <c r="U116" s="4" t="str">
        <f t="shared" si="3"/>
        <v>PMG - BB - Tartu mnt 87, Sikupilli Keskuse ees (Prisma), suund kesklinna</v>
      </c>
      <c r="V116" s="40">
        <v>44562</v>
      </c>
      <c r="W116" s="31"/>
    </row>
    <row r="117" spans="1:23" ht="15" x14ac:dyDescent="0.25">
      <c r="A117" s="4" t="s">
        <v>13</v>
      </c>
      <c r="B117" s="4" t="s">
        <v>12</v>
      </c>
      <c r="C117" s="4"/>
      <c r="D117" s="4"/>
      <c r="E117" s="1" t="s">
        <v>0</v>
      </c>
      <c r="F117" s="1" t="s">
        <v>1</v>
      </c>
      <c r="G117" s="4" t="s">
        <v>343</v>
      </c>
      <c r="H117" s="17">
        <v>1</v>
      </c>
      <c r="I117" s="4" t="s">
        <v>343</v>
      </c>
      <c r="J117" s="4"/>
      <c r="K117" s="4" t="s">
        <v>521</v>
      </c>
      <c r="L117" s="4"/>
      <c r="M117" s="4"/>
      <c r="N117" s="24">
        <v>24.782874</v>
      </c>
      <c r="O117" s="24">
        <v>59.425511</v>
      </c>
      <c r="P117" s="4" t="s">
        <v>117</v>
      </c>
      <c r="Q117" s="4" t="s">
        <v>12</v>
      </c>
      <c r="R117" s="4"/>
      <c r="S117" s="4"/>
      <c r="T117" s="4" t="str">
        <f t="shared" si="2"/>
        <v>PMG - BB -  - Tartu mnt 87, Sikupilli Keskuse ees (Prisma), suund kesklinnast - 1</v>
      </c>
      <c r="U117" s="4" t="str">
        <f t="shared" si="3"/>
        <v>PMG - BB - Tartu mnt 87, Sikupilli Keskuse ees (Prisma), suund kesklinnast</v>
      </c>
      <c r="V117" s="40">
        <v>44562</v>
      </c>
      <c r="W117" s="31"/>
    </row>
    <row r="118" spans="1:23" ht="15" x14ac:dyDescent="0.25">
      <c r="A118" s="4" t="s">
        <v>13</v>
      </c>
      <c r="B118" s="4" t="s">
        <v>12</v>
      </c>
      <c r="C118" s="4"/>
      <c r="D118" s="4"/>
      <c r="E118" s="1" t="s">
        <v>0</v>
      </c>
      <c r="F118" s="1" t="s">
        <v>1</v>
      </c>
      <c r="G118" s="4" t="s">
        <v>344</v>
      </c>
      <c r="H118" s="17">
        <v>1</v>
      </c>
      <c r="I118" s="4" t="s">
        <v>344</v>
      </c>
      <c r="J118" s="4"/>
      <c r="K118" s="4" t="s">
        <v>522</v>
      </c>
      <c r="L118" s="4"/>
      <c r="M118" s="4"/>
      <c r="N118" s="24">
        <v>24.740141999999999</v>
      </c>
      <c r="O118" s="24">
        <v>59.415368000000001</v>
      </c>
      <c r="P118" s="4" t="s">
        <v>118</v>
      </c>
      <c r="Q118" s="4" t="s">
        <v>12</v>
      </c>
      <c r="R118" s="4"/>
      <c r="S118" s="4"/>
      <c r="T118" s="4" t="str">
        <f t="shared" si="2"/>
        <v>PMG - BB -  - Pärnu mnt ja Rapla tn ristmik, kesklinna - 1</v>
      </c>
      <c r="U118" s="4" t="str">
        <f t="shared" si="3"/>
        <v>PMG - BB - Pärnu mnt ja Rapla tn ristmik, kesklinna</v>
      </c>
      <c r="V118" s="40">
        <v>44562</v>
      </c>
      <c r="W118" s="31"/>
    </row>
    <row r="119" spans="1:23" ht="15" x14ac:dyDescent="0.25">
      <c r="A119" s="4" t="s">
        <v>13</v>
      </c>
      <c r="B119" s="4" t="s">
        <v>12</v>
      </c>
      <c r="C119" s="4"/>
      <c r="D119" s="4"/>
      <c r="E119" s="1" t="s">
        <v>0</v>
      </c>
      <c r="F119" s="1" t="s">
        <v>1</v>
      </c>
      <c r="G119" s="4" t="s">
        <v>345</v>
      </c>
      <c r="H119" s="17">
        <v>1</v>
      </c>
      <c r="I119" s="4" t="s">
        <v>345</v>
      </c>
      <c r="J119" s="4"/>
      <c r="K119" s="4" t="s">
        <v>522</v>
      </c>
      <c r="L119" s="4"/>
      <c r="M119" s="4"/>
      <c r="N119" s="24">
        <v>24.740141999999999</v>
      </c>
      <c r="O119" s="24">
        <v>59.415368000000001</v>
      </c>
      <c r="P119" s="4" t="s">
        <v>119</v>
      </c>
      <c r="Q119" s="4" t="s">
        <v>12</v>
      </c>
      <c r="R119" s="4"/>
      <c r="S119" s="4"/>
      <c r="T119" s="4" t="str">
        <f t="shared" si="2"/>
        <v>PMG - BB -  - Pärnu mnt ja Rapla tn ristmik, kesklinnast  - 1</v>
      </c>
      <c r="U119" s="4" t="str">
        <f t="shared" si="3"/>
        <v xml:space="preserve">PMG - BB - Pärnu mnt ja Rapla tn ristmik, kesklinnast </v>
      </c>
      <c r="V119" s="40">
        <v>44562</v>
      </c>
      <c r="W119" s="31"/>
    </row>
    <row r="120" spans="1:23" ht="15" x14ac:dyDescent="0.25">
      <c r="A120" s="4" t="s">
        <v>13</v>
      </c>
      <c r="B120" s="4" t="s">
        <v>12</v>
      </c>
      <c r="C120" s="4"/>
      <c r="D120" s="4"/>
      <c r="E120" s="1" t="s">
        <v>0</v>
      </c>
      <c r="F120" s="1" t="s">
        <v>346</v>
      </c>
      <c r="G120" s="4" t="s">
        <v>347</v>
      </c>
      <c r="H120" s="17">
        <v>1</v>
      </c>
      <c r="I120" s="4" t="s">
        <v>347</v>
      </c>
      <c r="J120" s="4"/>
      <c r="K120" s="4" t="s">
        <v>523</v>
      </c>
      <c r="L120" s="4"/>
      <c r="M120" s="4"/>
      <c r="N120" s="24">
        <v>24.805866999999999</v>
      </c>
      <c r="O120" s="24">
        <v>59.408763999999998</v>
      </c>
      <c r="P120" s="4" t="s">
        <v>120</v>
      </c>
      <c r="Q120" s="4" t="s">
        <v>12</v>
      </c>
      <c r="R120" s="4"/>
      <c r="S120" s="4"/>
      <c r="T120" s="4" t="str">
        <f t="shared" si="2"/>
        <v>PMG - BB -  - Tartu mnt.119/ "Vianor" juures, väljasõit (5,5 x 2,7m) - 1</v>
      </c>
      <c r="U120" s="4" t="str">
        <f t="shared" si="3"/>
        <v>PMG - BB - Tartu mnt.119/ "Vianor" juures, väljasõit (5,5 x 2,7m)</v>
      </c>
      <c r="V120" s="40">
        <v>44562</v>
      </c>
      <c r="W120" s="31"/>
    </row>
    <row r="121" spans="1:23" ht="15" x14ac:dyDescent="0.25">
      <c r="A121" s="4" t="s">
        <v>13</v>
      </c>
      <c r="B121" s="4" t="s">
        <v>12</v>
      </c>
      <c r="C121" s="4"/>
      <c r="D121" s="4"/>
      <c r="E121" s="1" t="s">
        <v>0</v>
      </c>
      <c r="F121" s="1" t="s">
        <v>346</v>
      </c>
      <c r="G121" s="4" t="s">
        <v>348</v>
      </c>
      <c r="H121" s="17">
        <v>1</v>
      </c>
      <c r="I121" s="4" t="s">
        <v>348</v>
      </c>
      <c r="J121" s="4"/>
      <c r="K121" s="4" t="s">
        <v>524</v>
      </c>
      <c r="L121" s="4"/>
      <c r="M121" s="4"/>
      <c r="N121" s="24">
        <v>24.795437</v>
      </c>
      <c r="O121" s="24">
        <v>59.417380999999999</v>
      </c>
      <c r="P121" s="4" t="s">
        <v>121</v>
      </c>
      <c r="Q121" s="4" t="s">
        <v>12</v>
      </c>
      <c r="R121" s="4"/>
      <c r="S121" s="4"/>
      <c r="T121" s="4" t="str">
        <f t="shared" si="2"/>
        <v>PMG - BB -  - Tartu mnt. Lennujaama juures*, kesklinna - 1</v>
      </c>
      <c r="U121" s="4" t="str">
        <f t="shared" si="3"/>
        <v>PMG - BB - Tartu mnt. Lennujaama juures*, kesklinna</v>
      </c>
      <c r="V121" s="40">
        <v>44562</v>
      </c>
      <c r="W121" s="31"/>
    </row>
    <row r="122" spans="1:23" ht="15" x14ac:dyDescent="0.25">
      <c r="A122" s="4" t="s">
        <v>13</v>
      </c>
      <c r="B122" s="4" t="s">
        <v>12</v>
      </c>
      <c r="C122" s="4"/>
      <c r="D122" s="4"/>
      <c r="E122" s="1" t="s">
        <v>0</v>
      </c>
      <c r="F122" s="1" t="s">
        <v>346</v>
      </c>
      <c r="G122" s="4" t="s">
        <v>349</v>
      </c>
      <c r="H122" s="17">
        <v>1</v>
      </c>
      <c r="I122" s="4" t="s">
        <v>349</v>
      </c>
      <c r="J122" s="4"/>
      <c r="K122" s="4" t="s">
        <v>524</v>
      </c>
      <c r="L122" s="4"/>
      <c r="M122" s="4"/>
      <c r="N122" s="24">
        <v>24.795437</v>
      </c>
      <c r="O122" s="24">
        <v>59.417380999999999</v>
      </c>
      <c r="P122" s="4" t="s">
        <v>122</v>
      </c>
      <c r="Q122" s="4" t="s">
        <v>12</v>
      </c>
      <c r="R122" s="4"/>
      <c r="S122" s="4"/>
      <c r="T122" s="4" t="str">
        <f t="shared" si="2"/>
        <v>PMG - BB -  - Tartu mnt. Lennujaama juures*, kesklinnast - 1</v>
      </c>
      <c r="U122" s="4" t="str">
        <f t="shared" si="3"/>
        <v>PMG - BB - Tartu mnt. Lennujaama juures*, kesklinnast</v>
      </c>
      <c r="V122" s="40">
        <v>44562</v>
      </c>
      <c r="W122" s="31"/>
    </row>
    <row r="123" spans="1:23" ht="15" x14ac:dyDescent="0.25">
      <c r="A123" s="4" t="s">
        <v>13</v>
      </c>
      <c r="B123" s="4" t="s">
        <v>12</v>
      </c>
      <c r="C123" s="4"/>
      <c r="D123" s="4"/>
      <c r="E123" s="1" t="s">
        <v>0</v>
      </c>
      <c r="F123" s="1" t="s">
        <v>346</v>
      </c>
      <c r="G123" s="4" t="s">
        <v>350</v>
      </c>
      <c r="H123" s="17">
        <v>1</v>
      </c>
      <c r="I123" s="4" t="s">
        <v>350</v>
      </c>
      <c r="J123" s="4"/>
      <c r="K123" s="4" t="s">
        <v>525</v>
      </c>
      <c r="L123" s="4"/>
      <c r="M123" s="4"/>
      <c r="N123" s="24">
        <v>24.791270999999998</v>
      </c>
      <c r="O123" s="24">
        <v>59.420439999999999</v>
      </c>
      <c r="P123" s="4" t="s">
        <v>123</v>
      </c>
      <c r="Q123" s="4" t="s">
        <v>12</v>
      </c>
      <c r="R123" s="4"/>
      <c r="S123" s="4"/>
      <c r="T123" s="4" t="str">
        <f t="shared" si="2"/>
        <v>PMG - BB -  - Tartu mnt/ "Ülemiste Keskus"-ga kohakuti, väljasõit (5,5 x 2,7m) - 1</v>
      </c>
      <c r="U123" s="4" t="str">
        <f t="shared" si="3"/>
        <v>PMG - BB - Tartu mnt/ "Ülemiste Keskus"-ga kohakuti, väljasõit (5,5 x 2,7m)</v>
      </c>
      <c r="V123" s="40">
        <v>44562</v>
      </c>
      <c r="W123" s="31"/>
    </row>
    <row r="124" spans="1:23" ht="15" x14ac:dyDescent="0.25">
      <c r="A124" s="4" t="s">
        <v>13</v>
      </c>
      <c r="B124" s="4" t="s">
        <v>12</v>
      </c>
      <c r="C124" s="4"/>
      <c r="D124" s="4"/>
      <c r="E124" s="1" t="s">
        <v>0</v>
      </c>
      <c r="F124" s="1" t="s">
        <v>346</v>
      </c>
      <c r="G124" s="4" t="s">
        <v>351</v>
      </c>
      <c r="H124" s="17">
        <v>1</v>
      </c>
      <c r="I124" s="4" t="s">
        <v>351</v>
      </c>
      <c r="J124" s="4"/>
      <c r="K124" s="4" t="s">
        <v>526</v>
      </c>
      <c r="L124" s="4"/>
      <c r="M124" s="4"/>
      <c r="N124" s="24">
        <v>24.792345999999998</v>
      </c>
      <c r="O124" s="24">
        <v>59.419060999999999</v>
      </c>
      <c r="P124" s="4" t="s">
        <v>124</v>
      </c>
      <c r="Q124" s="4" t="s">
        <v>12</v>
      </c>
      <c r="R124" s="4"/>
      <c r="S124" s="4"/>
      <c r="T124" s="4" t="str">
        <f t="shared" si="2"/>
        <v>PMG - BB -  - Tartu mnt väljasõit post nr.3, kesklinnast   - 1</v>
      </c>
      <c r="U124" s="4" t="str">
        <f t="shared" si="3"/>
        <v xml:space="preserve">PMG - BB - Tartu mnt väljasõit post nr.3, kesklinnast  </v>
      </c>
      <c r="V124" s="40">
        <v>44562</v>
      </c>
      <c r="W124" s="31"/>
    </row>
    <row r="125" spans="1:23" ht="15" x14ac:dyDescent="0.25">
      <c r="A125" s="4" t="s">
        <v>13</v>
      </c>
      <c r="B125" s="4" t="s">
        <v>12</v>
      </c>
      <c r="C125" s="4"/>
      <c r="D125" s="4"/>
      <c r="E125" s="1" t="s">
        <v>0</v>
      </c>
      <c r="F125" s="1" t="s">
        <v>346</v>
      </c>
      <c r="G125" s="4" t="s">
        <v>352</v>
      </c>
      <c r="H125" s="17">
        <v>1</v>
      </c>
      <c r="I125" s="4" t="s">
        <v>352</v>
      </c>
      <c r="J125" s="4"/>
      <c r="K125" s="4" t="s">
        <v>527</v>
      </c>
      <c r="L125" s="4"/>
      <c r="M125" s="4"/>
      <c r="N125" s="24">
        <v>24.787641000000001</v>
      </c>
      <c r="O125" s="24">
        <v>59.422044</v>
      </c>
      <c r="P125" s="4" t="s">
        <v>125</v>
      </c>
      <c r="Q125" s="4" t="s">
        <v>12</v>
      </c>
      <c r="R125" s="4"/>
      <c r="S125" s="4"/>
      <c r="T125" s="4" t="str">
        <f t="shared" si="2"/>
        <v>PMG - BB -  - Järvevana tee/Tartu mnt ristmiku juures, Ülemistesse - 1</v>
      </c>
      <c r="U125" s="4" t="str">
        <f t="shared" si="3"/>
        <v>PMG - BB - Järvevana tee/Tartu mnt ristmiku juures, Ülemistesse</v>
      </c>
      <c r="V125" s="40">
        <v>44562</v>
      </c>
      <c r="W125" s="31"/>
    </row>
    <row r="126" spans="1:23" ht="15" x14ac:dyDescent="0.25">
      <c r="A126" s="4" t="s">
        <v>13</v>
      </c>
      <c r="B126" s="4" t="s">
        <v>12</v>
      </c>
      <c r="C126" s="4"/>
      <c r="D126" s="4"/>
      <c r="E126" s="1" t="s">
        <v>0</v>
      </c>
      <c r="F126" s="1" t="s">
        <v>346</v>
      </c>
      <c r="G126" s="4" t="s">
        <v>353</v>
      </c>
      <c r="H126" s="17">
        <v>1</v>
      </c>
      <c r="I126" s="4" t="s">
        <v>353</v>
      </c>
      <c r="J126" s="4"/>
      <c r="K126" s="4" t="s">
        <v>527</v>
      </c>
      <c r="L126" s="4"/>
      <c r="M126" s="4"/>
      <c r="N126" s="24">
        <v>24.787641000000001</v>
      </c>
      <c r="O126" s="24">
        <v>59.422044</v>
      </c>
      <c r="P126" s="4" t="s">
        <v>126</v>
      </c>
      <c r="Q126" s="4" t="s">
        <v>12</v>
      </c>
      <c r="R126" s="4"/>
      <c r="S126" s="4"/>
      <c r="T126" s="4" t="str">
        <f t="shared" si="2"/>
        <v>PMG - BB -  - Järvevana tee/Tartu mnt ristmiku juures, Järvele - 1</v>
      </c>
      <c r="U126" s="4" t="str">
        <f t="shared" si="3"/>
        <v>PMG - BB - Järvevana tee/Tartu mnt ristmiku juures, Järvele</v>
      </c>
      <c r="V126" s="40">
        <v>44562</v>
      </c>
      <c r="W126" s="31"/>
    </row>
    <row r="127" spans="1:23" ht="15" x14ac:dyDescent="0.25">
      <c r="A127" s="4" t="s">
        <v>13</v>
      </c>
      <c r="B127" s="4" t="s">
        <v>12</v>
      </c>
      <c r="C127" s="4"/>
      <c r="D127" s="4"/>
      <c r="E127" s="1" t="s">
        <v>0</v>
      </c>
      <c r="F127" s="1" t="s">
        <v>346</v>
      </c>
      <c r="G127" s="4" t="s">
        <v>354</v>
      </c>
      <c r="H127" s="17">
        <v>1</v>
      </c>
      <c r="I127" s="4" t="s">
        <v>354</v>
      </c>
      <c r="J127" s="4"/>
      <c r="K127" s="4" t="s">
        <v>527</v>
      </c>
      <c r="L127" s="4"/>
      <c r="M127" s="4"/>
      <c r="N127" s="24">
        <v>24.784238999999999</v>
      </c>
      <c r="O127" s="24">
        <v>59.423096999999999</v>
      </c>
      <c r="P127" s="4" t="s">
        <v>127</v>
      </c>
      <c r="Q127" s="4" t="s">
        <v>12</v>
      </c>
      <c r="R127" s="4"/>
      <c r="S127" s="4"/>
      <c r="T127" s="4" t="str">
        <f t="shared" si="2"/>
        <v>PMG - BB -  - Järvevana tee/Circkle K, suund Järvele - 1</v>
      </c>
      <c r="U127" s="4" t="str">
        <f t="shared" si="3"/>
        <v>PMG - BB - Järvevana tee/Circkle K, suund Järvele</v>
      </c>
      <c r="V127" s="40">
        <v>44562</v>
      </c>
      <c r="W127" s="31"/>
    </row>
    <row r="128" spans="1:23" ht="15" x14ac:dyDescent="0.25">
      <c r="A128" s="4" t="s">
        <v>13</v>
      </c>
      <c r="B128" s="4" t="s">
        <v>12</v>
      </c>
      <c r="C128" s="4"/>
      <c r="D128" s="4"/>
      <c r="E128" s="1" t="s">
        <v>0</v>
      </c>
      <c r="F128" s="1" t="s">
        <v>346</v>
      </c>
      <c r="G128" s="4" t="s">
        <v>355</v>
      </c>
      <c r="H128" s="17">
        <v>1</v>
      </c>
      <c r="I128" s="4" t="s">
        <v>355</v>
      </c>
      <c r="J128" s="4"/>
      <c r="K128" s="4" t="s">
        <v>527</v>
      </c>
      <c r="L128" s="4"/>
      <c r="M128" s="4"/>
      <c r="N128" s="24">
        <v>24.784238999999999</v>
      </c>
      <c r="O128" s="24">
        <v>59.423096999999999</v>
      </c>
      <c r="P128" s="4" t="s">
        <v>128</v>
      </c>
      <c r="Q128" s="4" t="s">
        <v>12</v>
      </c>
      <c r="R128" s="4"/>
      <c r="S128" s="4"/>
      <c r="T128" s="4" t="str">
        <f t="shared" si="2"/>
        <v>PMG - BB -  - Järvevana tee/Circkle K, suund Ülemistesse - 1</v>
      </c>
      <c r="U128" s="4" t="str">
        <f t="shared" si="3"/>
        <v>PMG - BB - Järvevana tee/Circkle K, suund Ülemistesse</v>
      </c>
      <c r="V128" s="40">
        <v>44562</v>
      </c>
      <c r="W128" s="31"/>
    </row>
    <row r="129" spans="1:23" ht="15" x14ac:dyDescent="0.25">
      <c r="A129" s="4" t="s">
        <v>13</v>
      </c>
      <c r="B129" s="4" t="s">
        <v>12</v>
      </c>
      <c r="C129" s="4"/>
      <c r="D129" s="4"/>
      <c r="E129" s="1" t="s">
        <v>0</v>
      </c>
      <c r="F129" s="1" t="s">
        <v>346</v>
      </c>
      <c r="G129" s="4" t="s">
        <v>356</v>
      </c>
      <c r="H129" s="17">
        <v>1</v>
      </c>
      <c r="I129" s="4" t="s">
        <v>356</v>
      </c>
      <c r="J129" s="4"/>
      <c r="K129" s="4" t="s">
        <v>528</v>
      </c>
      <c r="L129" s="4"/>
      <c r="M129" s="4"/>
      <c r="N129" s="24">
        <v>24.780296</v>
      </c>
      <c r="O129" s="24">
        <v>59.422809000000001</v>
      </c>
      <c r="P129" s="4" t="s">
        <v>129</v>
      </c>
      <c r="Q129" s="4" t="s">
        <v>12</v>
      </c>
      <c r="R129" s="4"/>
      <c r="S129" s="4"/>
      <c r="T129" s="4" t="str">
        <f t="shared" si="2"/>
        <v>PMG - BB -  - Järvevana tee, suund "Ülemiste Keskus" - 1</v>
      </c>
      <c r="U129" s="4" t="str">
        <f t="shared" si="3"/>
        <v>PMG - BB - Järvevana tee, suund "Ülemiste Keskus"</v>
      </c>
      <c r="V129" s="40">
        <v>44562</v>
      </c>
      <c r="W129" s="31"/>
    </row>
    <row r="130" spans="1:23" ht="15" x14ac:dyDescent="0.25">
      <c r="A130" s="4" t="s">
        <v>13</v>
      </c>
      <c r="B130" s="4" t="s">
        <v>12</v>
      </c>
      <c r="C130" s="4"/>
      <c r="D130" s="4"/>
      <c r="E130" s="1" t="s">
        <v>0</v>
      </c>
      <c r="F130" s="1" t="s">
        <v>346</v>
      </c>
      <c r="G130" s="4" t="s">
        <v>357</v>
      </c>
      <c r="H130" s="17">
        <v>1</v>
      </c>
      <c r="I130" s="4" t="s">
        <v>357</v>
      </c>
      <c r="J130" s="4"/>
      <c r="K130" s="4" t="s">
        <v>528</v>
      </c>
      <c r="L130" s="4"/>
      <c r="M130" s="4"/>
      <c r="N130" s="24">
        <v>24.780296</v>
      </c>
      <c r="O130" s="24">
        <v>59.422809000000001</v>
      </c>
      <c r="P130" s="4" t="s">
        <v>130</v>
      </c>
      <c r="Q130" s="4" t="s">
        <v>12</v>
      </c>
      <c r="R130" s="4"/>
      <c r="S130" s="4"/>
      <c r="T130" s="4" t="str">
        <f t="shared" si="2"/>
        <v>PMG - BB -  - Järvevana tee, suund Järvele - 1</v>
      </c>
      <c r="U130" s="4" t="str">
        <f t="shared" si="3"/>
        <v>PMG - BB - Järvevana tee, suund Järvele</v>
      </c>
      <c r="V130" s="40">
        <v>44562</v>
      </c>
      <c r="W130" s="31"/>
    </row>
    <row r="131" spans="1:23" ht="15" x14ac:dyDescent="0.25">
      <c r="A131" s="4" t="s">
        <v>13</v>
      </c>
      <c r="B131" s="4" t="s">
        <v>12</v>
      </c>
      <c r="C131" s="4"/>
      <c r="D131" s="4"/>
      <c r="E131" s="1" t="s">
        <v>0</v>
      </c>
      <c r="F131" s="1" t="s">
        <v>346</v>
      </c>
      <c r="G131" s="4" t="s">
        <v>358</v>
      </c>
      <c r="H131" s="17">
        <v>1</v>
      </c>
      <c r="I131" s="4" t="s">
        <v>358</v>
      </c>
      <c r="J131" s="4"/>
      <c r="K131" s="4" t="s">
        <v>529</v>
      </c>
      <c r="L131" s="4"/>
      <c r="M131" s="4"/>
      <c r="N131" s="24">
        <v>24.780303</v>
      </c>
      <c r="O131" s="24">
        <v>59.422789000000002</v>
      </c>
      <c r="P131" s="4" t="s">
        <v>131</v>
      </c>
      <c r="Q131" s="4" t="s">
        <v>12</v>
      </c>
      <c r="R131" s="4"/>
      <c r="S131" s="4"/>
      <c r="T131" s="4" t="str">
        <f t="shared" ref="T131:T194" si="4">CONCATENATE(A131," - ",B131," - ",C131," - ",G131," - ",H131)</f>
        <v>PMG - BB -  - Järvevana tee/Veepuhastusjaam - suund Ülemistesse - 1</v>
      </c>
      <c r="U131" s="4" t="str">
        <f t="shared" ref="U131:U194" si="5">CONCATENATE(A131," - ",B131," - ",G131,)</f>
        <v>PMG - BB - Järvevana tee/Veepuhastusjaam - suund Ülemistesse</v>
      </c>
      <c r="V131" s="40">
        <v>44562</v>
      </c>
      <c r="W131" s="31"/>
    </row>
    <row r="132" spans="1:23" ht="15" x14ac:dyDescent="0.25">
      <c r="A132" s="4" t="s">
        <v>13</v>
      </c>
      <c r="B132" s="4" t="s">
        <v>12</v>
      </c>
      <c r="C132" s="4"/>
      <c r="D132" s="4"/>
      <c r="E132" s="1" t="s">
        <v>0</v>
      </c>
      <c r="F132" s="1" t="s">
        <v>346</v>
      </c>
      <c r="G132" s="4" t="s">
        <v>359</v>
      </c>
      <c r="H132" s="17">
        <v>1</v>
      </c>
      <c r="I132" s="4" t="s">
        <v>359</v>
      </c>
      <c r="J132" s="4"/>
      <c r="K132" s="4" t="s">
        <v>529</v>
      </c>
      <c r="L132" s="4"/>
      <c r="M132" s="4"/>
      <c r="N132" s="24">
        <v>24.780303</v>
      </c>
      <c r="O132" s="24">
        <v>59.422789000000002</v>
      </c>
      <c r="P132" s="4" t="s">
        <v>132</v>
      </c>
      <c r="Q132" s="4" t="s">
        <v>12</v>
      </c>
      <c r="R132" s="4"/>
      <c r="S132" s="4"/>
      <c r="T132" s="4" t="str">
        <f t="shared" si="4"/>
        <v>PMG - BB -  - Järvevana tee/Veepuhastusjaam - suund Järvele - 1</v>
      </c>
      <c r="U132" s="4" t="str">
        <f t="shared" si="5"/>
        <v>PMG - BB - Järvevana tee/Veepuhastusjaam - suund Järvele</v>
      </c>
      <c r="V132" s="40">
        <v>44562</v>
      </c>
      <c r="W132" s="31"/>
    </row>
    <row r="133" spans="1:23" ht="15" x14ac:dyDescent="0.25">
      <c r="A133" s="4" t="s">
        <v>13</v>
      </c>
      <c r="B133" s="4" t="s">
        <v>12</v>
      </c>
      <c r="C133" s="4"/>
      <c r="D133" s="4"/>
      <c r="E133" s="1" t="s">
        <v>0</v>
      </c>
      <c r="F133" s="1" t="s">
        <v>346</v>
      </c>
      <c r="G133" s="4" t="s">
        <v>360</v>
      </c>
      <c r="H133" s="17">
        <v>1</v>
      </c>
      <c r="I133" s="4" t="s">
        <v>360</v>
      </c>
      <c r="J133" s="4"/>
      <c r="K133" s="4" t="s">
        <v>530</v>
      </c>
      <c r="L133" s="4"/>
      <c r="M133" s="4"/>
      <c r="N133" s="24">
        <v>24.757287999999999</v>
      </c>
      <c r="O133" s="24">
        <v>59.411799999999999</v>
      </c>
      <c r="P133" s="4" t="s">
        <v>133</v>
      </c>
      <c r="Q133" s="4" t="s">
        <v>12</v>
      </c>
      <c r="R133" s="4"/>
      <c r="S133" s="4"/>
      <c r="T133" s="4" t="str">
        <f t="shared" si="4"/>
        <v>PMG - BB -  - Järvevana tee/ Veerenni rist, post 2, suund Ülemistesse - 1</v>
      </c>
      <c r="U133" s="4" t="str">
        <f t="shared" si="5"/>
        <v>PMG - BB - Järvevana tee/ Veerenni rist, post 2, suund Ülemistesse</v>
      </c>
      <c r="V133" s="40">
        <v>44562</v>
      </c>
      <c r="W133" s="31"/>
    </row>
    <row r="134" spans="1:23" ht="15" x14ac:dyDescent="0.25">
      <c r="A134" s="4" t="s">
        <v>13</v>
      </c>
      <c r="B134" s="4" t="s">
        <v>12</v>
      </c>
      <c r="C134" s="4"/>
      <c r="D134" s="4"/>
      <c r="E134" s="1" t="s">
        <v>0</v>
      </c>
      <c r="F134" s="1" t="s">
        <v>346</v>
      </c>
      <c r="G134" s="4" t="s">
        <v>361</v>
      </c>
      <c r="H134" s="17">
        <v>1</v>
      </c>
      <c r="I134" s="4" t="s">
        <v>361</v>
      </c>
      <c r="J134" s="4"/>
      <c r="K134" s="4" t="s">
        <v>530</v>
      </c>
      <c r="L134" s="4"/>
      <c r="M134" s="4"/>
      <c r="N134" s="24">
        <v>24.757287999999999</v>
      </c>
      <c r="O134" s="24">
        <v>59.411799999999999</v>
      </c>
      <c r="P134" s="4" t="s">
        <v>134</v>
      </c>
      <c r="Q134" s="4" t="s">
        <v>12</v>
      </c>
      <c r="R134" s="4"/>
      <c r="S134" s="4"/>
      <c r="T134" s="4" t="str">
        <f t="shared" si="4"/>
        <v>PMG - BB -  - Järvevana tee/Veerenni rist, post 2, suund Järvele  - 1</v>
      </c>
      <c r="U134" s="4" t="str">
        <f t="shared" si="5"/>
        <v xml:space="preserve">PMG - BB - Järvevana tee/Veerenni rist, post 2, suund Järvele </v>
      </c>
      <c r="V134" s="40">
        <v>44562</v>
      </c>
      <c r="W134" s="31"/>
    </row>
    <row r="135" spans="1:23" ht="15" x14ac:dyDescent="0.25">
      <c r="A135" s="4" t="s">
        <v>13</v>
      </c>
      <c r="B135" s="4" t="s">
        <v>12</v>
      </c>
      <c r="C135" s="4"/>
      <c r="D135" s="4"/>
      <c r="E135" s="1" t="s">
        <v>0</v>
      </c>
      <c r="F135" s="1" t="s">
        <v>346</v>
      </c>
      <c r="G135" s="4" t="s">
        <v>362</v>
      </c>
      <c r="H135" s="17">
        <v>1</v>
      </c>
      <c r="I135" s="4" t="s">
        <v>362</v>
      </c>
      <c r="J135" s="4"/>
      <c r="K135" s="4" t="s">
        <v>531</v>
      </c>
      <c r="L135" s="4"/>
      <c r="M135" s="4"/>
      <c r="N135" s="24">
        <v>24.755951</v>
      </c>
      <c r="O135" s="24">
        <v>59.411042000000002</v>
      </c>
      <c r="P135" s="4" t="s">
        <v>135</v>
      </c>
      <c r="Q135" s="4" t="s">
        <v>12</v>
      </c>
      <c r="R135" s="4"/>
      <c r="S135" s="4"/>
      <c r="T135" s="4" t="str">
        <f t="shared" si="4"/>
        <v>PMG - BB -  - Järvevana tee/Veerenni rist - suund Ülemistesse-1 - 1</v>
      </c>
      <c r="U135" s="4" t="str">
        <f t="shared" si="5"/>
        <v>PMG - BB - Järvevana tee/Veerenni rist - suund Ülemistesse-1</v>
      </c>
      <c r="V135" s="40">
        <v>44562</v>
      </c>
      <c r="W135" s="31"/>
    </row>
    <row r="136" spans="1:23" ht="15" x14ac:dyDescent="0.25">
      <c r="A136" s="4" t="s">
        <v>13</v>
      </c>
      <c r="B136" s="4" t="s">
        <v>12</v>
      </c>
      <c r="C136" s="4"/>
      <c r="D136" s="4"/>
      <c r="E136" s="1" t="s">
        <v>0</v>
      </c>
      <c r="F136" s="1" t="s">
        <v>346</v>
      </c>
      <c r="G136" s="4" t="s">
        <v>363</v>
      </c>
      <c r="H136" s="17">
        <v>1</v>
      </c>
      <c r="I136" s="4" t="s">
        <v>363</v>
      </c>
      <c r="J136" s="4"/>
      <c r="K136" s="4" t="s">
        <v>531</v>
      </c>
      <c r="L136" s="4"/>
      <c r="M136" s="4"/>
      <c r="N136" s="24">
        <v>24.755951</v>
      </c>
      <c r="O136" s="24">
        <v>59.411042000000002</v>
      </c>
      <c r="P136" s="4" t="s">
        <v>136</v>
      </c>
      <c r="Q136" s="4" t="s">
        <v>12</v>
      </c>
      <c r="R136" s="4"/>
      <c r="S136" s="4"/>
      <c r="T136" s="4" t="str">
        <f t="shared" si="4"/>
        <v>PMG - BB -  - Järvevana tee/Veerenni rist - suund Järvele - 1</v>
      </c>
      <c r="U136" s="4" t="str">
        <f t="shared" si="5"/>
        <v>PMG - BB - Järvevana tee/Veerenni rist - suund Järvele</v>
      </c>
      <c r="V136" s="40">
        <v>44562</v>
      </c>
      <c r="W136" s="31"/>
    </row>
    <row r="137" spans="1:23" ht="15" x14ac:dyDescent="0.25">
      <c r="A137" s="4" t="s">
        <v>13</v>
      </c>
      <c r="B137" s="4" t="s">
        <v>12</v>
      </c>
      <c r="C137" s="4"/>
      <c r="D137" s="4"/>
      <c r="E137" s="1" t="s">
        <v>0</v>
      </c>
      <c r="F137" s="1" t="s">
        <v>346</v>
      </c>
      <c r="G137" s="4" t="s">
        <v>364</v>
      </c>
      <c r="H137" s="17">
        <v>1</v>
      </c>
      <c r="I137" s="4" t="s">
        <v>364</v>
      </c>
      <c r="J137" s="4"/>
      <c r="K137" s="4" t="s">
        <v>532</v>
      </c>
      <c r="L137" s="4"/>
      <c r="M137" s="4"/>
      <c r="N137" s="24">
        <v>24.777101999999999</v>
      </c>
      <c r="O137" s="24">
        <v>59.423084000000003</v>
      </c>
      <c r="P137" s="4" t="s">
        <v>137</v>
      </c>
      <c r="Q137" s="4" t="s">
        <v>12</v>
      </c>
      <c r="R137" s="4"/>
      <c r="S137" s="4"/>
      <c r="T137" s="4" t="str">
        <f t="shared" si="4"/>
        <v>PMG - BB -  - Järvevana tee- Peterburi tee tunneli ja viadukti vahel suund Lasnamäe - 1</v>
      </c>
      <c r="U137" s="4" t="str">
        <f t="shared" si="5"/>
        <v>PMG - BB - Järvevana tee- Peterburi tee tunneli ja viadukti vahel suund Lasnamäe</v>
      </c>
      <c r="V137" s="40">
        <v>44562</v>
      </c>
      <c r="W137" s="31"/>
    </row>
    <row r="138" spans="1:23" ht="15" x14ac:dyDescent="0.25">
      <c r="A138" s="4" t="s">
        <v>13</v>
      </c>
      <c r="B138" s="4" t="s">
        <v>12</v>
      </c>
      <c r="C138" s="4"/>
      <c r="D138" s="4"/>
      <c r="E138" s="1" t="s">
        <v>0</v>
      </c>
      <c r="F138" s="1" t="s">
        <v>346</v>
      </c>
      <c r="G138" s="4" t="s">
        <v>365</v>
      </c>
      <c r="H138" s="17">
        <v>1</v>
      </c>
      <c r="I138" s="4" t="s">
        <v>365</v>
      </c>
      <c r="J138" s="4"/>
      <c r="K138" s="4" t="s">
        <v>532</v>
      </c>
      <c r="L138" s="4"/>
      <c r="M138" s="4"/>
      <c r="N138" s="24">
        <v>24.777101999999999</v>
      </c>
      <c r="O138" s="24">
        <v>59.423084000000003</v>
      </c>
      <c r="P138" s="4" t="s">
        <v>138</v>
      </c>
      <c r="Q138" s="4" t="s">
        <v>12</v>
      </c>
      <c r="R138" s="4"/>
      <c r="S138" s="4"/>
      <c r="T138" s="4" t="str">
        <f t="shared" si="4"/>
        <v>PMG - BB -  - Järvana tee-Peterburi tee tunneli ja viadukti vahel suund Järvele - 1</v>
      </c>
      <c r="U138" s="4" t="str">
        <f t="shared" si="5"/>
        <v>PMG - BB - Järvana tee-Peterburi tee tunneli ja viadukti vahel suund Järvele</v>
      </c>
      <c r="V138" s="40">
        <v>44562</v>
      </c>
      <c r="W138" s="31"/>
    </row>
    <row r="139" spans="1:23" ht="15" x14ac:dyDescent="0.25">
      <c r="A139" s="4" t="s">
        <v>13</v>
      </c>
      <c r="B139" s="4" t="s">
        <v>12</v>
      </c>
      <c r="C139" s="4"/>
      <c r="D139" s="4"/>
      <c r="E139" s="1" t="s">
        <v>0</v>
      </c>
      <c r="F139" s="1" t="s">
        <v>346</v>
      </c>
      <c r="G139" s="4" t="s">
        <v>366</v>
      </c>
      <c r="H139" s="17">
        <v>1</v>
      </c>
      <c r="I139" s="4" t="s">
        <v>366</v>
      </c>
      <c r="J139" s="4"/>
      <c r="K139" s="4" t="s">
        <v>533</v>
      </c>
      <c r="L139" s="4"/>
      <c r="M139" s="4"/>
      <c r="N139" s="24">
        <v>24.766506</v>
      </c>
      <c r="O139" s="24">
        <v>59.419320999999997</v>
      </c>
      <c r="P139" s="4" t="s">
        <v>139</v>
      </c>
      <c r="Q139" s="4" t="s">
        <v>12</v>
      </c>
      <c r="R139" s="4"/>
      <c r="S139" s="4"/>
      <c r="T139" s="4" t="str">
        <f t="shared" si="4"/>
        <v>PMG - BB -  - Järvevana tee-viadukt - Espak kauplusega kohakuti, suund Järvele - 1</v>
      </c>
      <c r="U139" s="4" t="str">
        <f t="shared" si="5"/>
        <v>PMG - BB - Järvevana tee-viadukt - Espak kauplusega kohakuti, suund Järvele</v>
      </c>
      <c r="V139" s="40">
        <v>44562</v>
      </c>
      <c r="W139" s="31"/>
    </row>
    <row r="140" spans="1:23" ht="15" x14ac:dyDescent="0.25">
      <c r="A140" s="4" t="s">
        <v>13</v>
      </c>
      <c r="B140" s="4" t="s">
        <v>12</v>
      </c>
      <c r="C140" s="4"/>
      <c r="D140" s="4"/>
      <c r="E140" s="1" t="s">
        <v>0</v>
      </c>
      <c r="F140" s="1" t="s">
        <v>346</v>
      </c>
      <c r="G140" s="4" t="s">
        <v>367</v>
      </c>
      <c r="H140" s="17">
        <v>1</v>
      </c>
      <c r="I140" s="4" t="s">
        <v>367</v>
      </c>
      <c r="J140" s="4"/>
      <c r="K140" s="4" t="s">
        <v>533</v>
      </c>
      <c r="L140" s="4"/>
      <c r="M140" s="4"/>
      <c r="N140" s="24">
        <v>24.766506</v>
      </c>
      <c r="O140" s="24">
        <v>59.419320999999997</v>
      </c>
      <c r="P140" s="4" t="s">
        <v>140</v>
      </c>
      <c r="Q140" s="4" t="s">
        <v>12</v>
      </c>
      <c r="R140" s="4"/>
      <c r="S140" s="4"/>
      <c r="T140" s="4" t="str">
        <f t="shared" si="4"/>
        <v>PMG - BB -  - Järvevana tee - viadukt - Espak kauplusega kohakuti, suund Peterburi teele - 1</v>
      </c>
      <c r="U140" s="4" t="str">
        <f t="shared" si="5"/>
        <v>PMG - BB - Järvevana tee - viadukt - Espak kauplusega kohakuti, suund Peterburi teele</v>
      </c>
      <c r="V140" s="40">
        <v>44562</v>
      </c>
      <c r="W140" s="31"/>
    </row>
    <row r="141" spans="1:23" ht="15" x14ac:dyDescent="0.25">
      <c r="A141" s="4" t="s">
        <v>13</v>
      </c>
      <c r="B141" s="4" t="s">
        <v>12</v>
      </c>
      <c r="C141" s="4"/>
      <c r="D141" s="4"/>
      <c r="E141" s="1" t="s">
        <v>0</v>
      </c>
      <c r="F141" s="1" t="s">
        <v>9</v>
      </c>
      <c r="G141" s="4" t="s">
        <v>368</v>
      </c>
      <c r="H141" s="17">
        <v>1</v>
      </c>
      <c r="I141" s="4" t="s">
        <v>368</v>
      </c>
      <c r="J141" s="4"/>
      <c r="K141" s="4" t="s">
        <v>534</v>
      </c>
      <c r="L141" s="4"/>
      <c r="M141" s="4"/>
      <c r="N141" s="24">
        <v>24.796851</v>
      </c>
      <c r="O141" s="24">
        <v>59.425432000000001</v>
      </c>
      <c r="P141" s="4" t="s">
        <v>141</v>
      </c>
      <c r="Q141" s="4" t="s">
        <v>12</v>
      </c>
      <c r="R141" s="4"/>
      <c r="S141" s="4"/>
      <c r="T141" s="4" t="str">
        <f t="shared" si="4"/>
        <v>PMG - BB -  - Peterburi tee 4, kesklinnast  - 1</v>
      </c>
      <c r="U141" s="4" t="str">
        <f t="shared" si="5"/>
        <v xml:space="preserve">PMG - BB - Peterburi tee 4, kesklinnast </v>
      </c>
      <c r="V141" s="40">
        <v>44562</v>
      </c>
      <c r="W141" s="31"/>
    </row>
    <row r="142" spans="1:23" ht="15" x14ac:dyDescent="0.25">
      <c r="A142" s="4" t="s">
        <v>13</v>
      </c>
      <c r="B142" s="4" t="s">
        <v>12</v>
      </c>
      <c r="C142" s="4"/>
      <c r="D142" s="4"/>
      <c r="E142" s="1" t="s">
        <v>0</v>
      </c>
      <c r="F142" s="1" t="s">
        <v>9</v>
      </c>
      <c r="G142" s="4" t="s">
        <v>369</v>
      </c>
      <c r="H142" s="17">
        <v>1</v>
      </c>
      <c r="I142" s="4" t="s">
        <v>369</v>
      </c>
      <c r="J142" s="4"/>
      <c r="K142" s="4" t="s">
        <v>534</v>
      </c>
      <c r="L142" s="4"/>
      <c r="M142" s="4"/>
      <c r="N142" s="24">
        <v>24.796851</v>
      </c>
      <c r="O142" s="24">
        <v>59.425432000000001</v>
      </c>
      <c r="P142" s="4" t="s">
        <v>142</v>
      </c>
      <c r="Q142" s="4" t="s">
        <v>12</v>
      </c>
      <c r="R142" s="4"/>
      <c r="S142" s="4"/>
      <c r="T142" s="4" t="str">
        <f t="shared" si="4"/>
        <v>PMG - BB -  - Peterburi tee 4, kesklinna  - 1</v>
      </c>
      <c r="U142" s="4" t="str">
        <f t="shared" si="5"/>
        <v xml:space="preserve">PMG - BB - Peterburi tee 4, kesklinna </v>
      </c>
      <c r="V142" s="40">
        <v>44562</v>
      </c>
      <c r="W142" s="31"/>
    </row>
    <row r="143" spans="1:23" ht="15" x14ac:dyDescent="0.25">
      <c r="A143" s="4" t="s">
        <v>13</v>
      </c>
      <c r="B143" s="4" t="s">
        <v>12</v>
      </c>
      <c r="C143" s="4"/>
      <c r="D143" s="4"/>
      <c r="E143" s="1" t="s">
        <v>0</v>
      </c>
      <c r="F143" s="1" t="s">
        <v>9</v>
      </c>
      <c r="G143" s="4" t="s">
        <v>370</v>
      </c>
      <c r="H143" s="17">
        <v>1</v>
      </c>
      <c r="I143" s="4" t="s">
        <v>370</v>
      </c>
      <c r="J143" s="4"/>
      <c r="K143" s="4" t="s">
        <v>11</v>
      </c>
      <c r="L143" s="4"/>
      <c r="M143" s="4"/>
      <c r="N143" s="24">
        <v>24.823751000000001</v>
      </c>
      <c r="O143" s="24">
        <v>59.427101999999998</v>
      </c>
      <c r="P143" s="4" t="s">
        <v>143</v>
      </c>
      <c r="Q143" s="4" t="s">
        <v>12</v>
      </c>
      <c r="R143" s="4"/>
      <c r="S143" s="4"/>
      <c r="T143" s="4" t="str">
        <f t="shared" si="4"/>
        <v>PMG - BB -  - Peterburi mnt.50 (enne viadukti), suund linnast - 1</v>
      </c>
      <c r="U143" s="4" t="str">
        <f t="shared" si="5"/>
        <v>PMG - BB - Peterburi mnt.50 (enne viadukti), suund linnast</v>
      </c>
      <c r="V143" s="40">
        <v>44562</v>
      </c>
      <c r="W143" s="31"/>
    </row>
    <row r="144" spans="1:23" ht="15" x14ac:dyDescent="0.25">
      <c r="A144" s="4" t="s">
        <v>13</v>
      </c>
      <c r="B144" s="4" t="s">
        <v>12</v>
      </c>
      <c r="C144" s="4"/>
      <c r="D144" s="4"/>
      <c r="E144" s="1" t="s">
        <v>0</v>
      </c>
      <c r="F144" s="1" t="s">
        <v>9</v>
      </c>
      <c r="G144" s="4" t="s">
        <v>371</v>
      </c>
      <c r="H144" s="17">
        <v>1</v>
      </c>
      <c r="I144" s="4" t="s">
        <v>371</v>
      </c>
      <c r="J144" s="4"/>
      <c r="K144" s="4" t="s">
        <v>11</v>
      </c>
      <c r="L144" s="4"/>
      <c r="M144" s="4"/>
      <c r="N144" s="24">
        <v>24.823751000000001</v>
      </c>
      <c r="O144" s="24">
        <v>59.427101999999998</v>
      </c>
      <c r="P144" s="4" t="s">
        <v>144</v>
      </c>
      <c r="Q144" s="4" t="s">
        <v>12</v>
      </c>
      <c r="R144" s="4"/>
      <c r="S144" s="4"/>
      <c r="T144" s="4" t="str">
        <f t="shared" si="4"/>
        <v>PMG - BB -  - Peterburi mnt.50(enne viadukti), suund linna - 1</v>
      </c>
      <c r="U144" s="4" t="str">
        <f t="shared" si="5"/>
        <v>PMG - BB - Peterburi mnt.50(enne viadukti), suund linna</v>
      </c>
      <c r="V144" s="40">
        <v>44562</v>
      </c>
      <c r="W144" s="31"/>
    </row>
    <row r="145" spans="1:23" ht="15" x14ac:dyDescent="0.25">
      <c r="A145" s="4" t="s">
        <v>13</v>
      </c>
      <c r="B145" s="4" t="s">
        <v>12</v>
      </c>
      <c r="C145" s="4"/>
      <c r="D145" s="4"/>
      <c r="E145" s="1" t="s">
        <v>0</v>
      </c>
      <c r="F145" s="1" t="s">
        <v>9</v>
      </c>
      <c r="G145" s="4" t="s">
        <v>372</v>
      </c>
      <c r="H145" s="17">
        <v>1</v>
      </c>
      <c r="I145" s="4" t="s">
        <v>372</v>
      </c>
      <c r="J145" s="4"/>
      <c r="K145" s="4" t="s">
        <v>535</v>
      </c>
      <c r="L145" s="4"/>
      <c r="M145" s="4"/>
      <c r="N145" s="24">
        <v>24.832204000000001</v>
      </c>
      <c r="O145" s="24">
        <v>59.428555000000003</v>
      </c>
      <c r="P145" s="4" t="s">
        <v>145</v>
      </c>
      <c r="Q145" s="4" t="s">
        <v>12</v>
      </c>
      <c r="R145" s="4"/>
      <c r="S145" s="4"/>
      <c r="T145" s="4" t="str">
        <f t="shared" si="4"/>
        <v>PMG - BB -  - Peterburi tee ja Vesse tn ristmik *, kesklinnast  - 1</v>
      </c>
      <c r="U145" s="4" t="str">
        <f t="shared" si="5"/>
        <v xml:space="preserve">PMG - BB - Peterburi tee ja Vesse tn ristmik *, kesklinnast </v>
      </c>
      <c r="V145" s="40">
        <v>44562</v>
      </c>
      <c r="W145" s="31"/>
    </row>
    <row r="146" spans="1:23" ht="15" x14ac:dyDescent="0.25">
      <c r="A146" s="4" t="s">
        <v>13</v>
      </c>
      <c r="B146" s="4" t="s">
        <v>12</v>
      </c>
      <c r="C146" s="4"/>
      <c r="D146" s="4"/>
      <c r="E146" s="1" t="s">
        <v>0</v>
      </c>
      <c r="F146" s="1" t="s">
        <v>9</v>
      </c>
      <c r="G146" s="4" t="s">
        <v>373</v>
      </c>
      <c r="H146" s="17">
        <v>1</v>
      </c>
      <c r="I146" s="4" t="s">
        <v>373</v>
      </c>
      <c r="J146" s="4"/>
      <c r="K146" s="4" t="s">
        <v>535</v>
      </c>
      <c r="L146" s="4"/>
      <c r="M146" s="4"/>
      <c r="N146" s="24">
        <v>24.832204000000001</v>
      </c>
      <c r="O146" s="24">
        <v>59.428555000000003</v>
      </c>
      <c r="P146" s="4" t="s">
        <v>146</v>
      </c>
      <c r="Q146" s="4" t="s">
        <v>12</v>
      </c>
      <c r="R146" s="4"/>
      <c r="S146" s="4"/>
      <c r="T146" s="4" t="str">
        <f t="shared" si="4"/>
        <v>PMG - BB -  - Peterburi tee ja Vesse tn ristmik*, kesklinna  - 1</v>
      </c>
      <c r="U146" s="4" t="str">
        <f t="shared" si="5"/>
        <v xml:space="preserve">PMG - BB - Peterburi tee ja Vesse tn ristmik*, kesklinna </v>
      </c>
      <c r="V146" s="40">
        <v>44562</v>
      </c>
      <c r="W146" s="31"/>
    </row>
    <row r="147" spans="1:23" ht="15" x14ac:dyDescent="0.25">
      <c r="A147" s="4" t="s">
        <v>13</v>
      </c>
      <c r="B147" s="4" t="s">
        <v>12</v>
      </c>
      <c r="C147" s="4"/>
      <c r="D147" s="4"/>
      <c r="E147" s="1" t="s">
        <v>0</v>
      </c>
      <c r="F147" s="1" t="s">
        <v>9</v>
      </c>
      <c r="G147" s="4" t="s">
        <v>374</v>
      </c>
      <c r="H147" s="17">
        <v>1</v>
      </c>
      <c r="I147" s="4" t="s">
        <v>374</v>
      </c>
      <c r="J147" s="4"/>
      <c r="K147" s="4" t="s">
        <v>536</v>
      </c>
      <c r="L147" s="4"/>
      <c r="M147" s="4"/>
      <c r="N147" s="24">
        <v>24.834610999999999</v>
      </c>
      <c r="O147" s="24">
        <v>59.428916000000001</v>
      </c>
      <c r="P147" s="4" t="s">
        <v>147</v>
      </c>
      <c r="Q147" s="4" t="s">
        <v>12</v>
      </c>
      <c r="R147" s="4"/>
      <c r="S147" s="4"/>
      <c r="T147" s="4" t="str">
        <f t="shared" si="4"/>
        <v>PMG - BB -  - Peterburi mnt / Smuuli nurk, suunaga linnast - 1</v>
      </c>
      <c r="U147" s="4" t="str">
        <f t="shared" si="5"/>
        <v>PMG - BB - Peterburi mnt / Smuuli nurk, suunaga linnast</v>
      </c>
      <c r="V147" s="40">
        <v>44562</v>
      </c>
      <c r="W147" s="31"/>
    </row>
    <row r="148" spans="1:23" ht="15" x14ac:dyDescent="0.25">
      <c r="A148" s="4" t="s">
        <v>13</v>
      </c>
      <c r="B148" s="4" t="s">
        <v>12</v>
      </c>
      <c r="C148" s="4"/>
      <c r="D148" s="4"/>
      <c r="E148" s="1" t="s">
        <v>0</v>
      </c>
      <c r="F148" s="1" t="s">
        <v>9</v>
      </c>
      <c r="G148" s="4" t="s">
        <v>375</v>
      </c>
      <c r="H148" s="17">
        <v>1</v>
      </c>
      <c r="I148" s="4" t="s">
        <v>375</v>
      </c>
      <c r="J148" s="4"/>
      <c r="K148" s="4" t="s">
        <v>536</v>
      </c>
      <c r="L148" s="4"/>
      <c r="M148" s="4"/>
      <c r="N148" s="24">
        <v>24.834610999999999</v>
      </c>
      <c r="O148" s="24">
        <v>59.428916000000001</v>
      </c>
      <c r="P148" s="4" t="s">
        <v>148</v>
      </c>
      <c r="Q148" s="4" t="s">
        <v>12</v>
      </c>
      <c r="R148" s="4"/>
      <c r="S148" s="4"/>
      <c r="T148" s="4" t="str">
        <f t="shared" si="4"/>
        <v>PMG - BB -  - Peterburi mnt / Smuuli nurk, suunaga linna - 1</v>
      </c>
      <c r="U148" s="4" t="str">
        <f t="shared" si="5"/>
        <v>PMG - BB - Peterburi mnt / Smuuli nurk, suunaga linna</v>
      </c>
      <c r="V148" s="40">
        <v>44562</v>
      </c>
      <c r="W148" s="31"/>
    </row>
    <row r="149" spans="1:23" ht="15" x14ac:dyDescent="0.25">
      <c r="A149" s="4" t="s">
        <v>13</v>
      </c>
      <c r="B149" s="4" t="s">
        <v>12</v>
      </c>
      <c r="C149" s="4"/>
      <c r="D149" s="4"/>
      <c r="E149" s="1" t="s">
        <v>0</v>
      </c>
      <c r="F149" s="1" t="s">
        <v>9</v>
      </c>
      <c r="G149" s="4" t="s">
        <v>376</v>
      </c>
      <c r="H149" s="17">
        <v>1</v>
      </c>
      <c r="I149" s="4" t="s">
        <v>376</v>
      </c>
      <c r="J149" s="4"/>
      <c r="K149" s="4" t="s">
        <v>537</v>
      </c>
      <c r="L149" s="4"/>
      <c r="M149" s="4"/>
      <c r="N149" s="24">
        <v>24.833877000000001</v>
      </c>
      <c r="O149" s="24">
        <v>59.428798</v>
      </c>
      <c r="P149" s="4" t="s">
        <v>149</v>
      </c>
      <c r="Q149" s="4" t="s">
        <v>12</v>
      </c>
      <c r="R149" s="4"/>
      <c r="S149" s="4"/>
      <c r="T149" s="4" t="str">
        <f t="shared" si="4"/>
        <v>PMG - BB -  - Peterburi tee ja Smuuli tee ristmik  *, linnast - 1</v>
      </c>
      <c r="U149" s="4" t="str">
        <f t="shared" si="5"/>
        <v>PMG - BB - Peterburi tee ja Smuuli tee ristmik  *, linnast</v>
      </c>
      <c r="V149" s="40">
        <v>44562</v>
      </c>
      <c r="W149" s="31"/>
    </row>
    <row r="150" spans="1:23" ht="15" x14ac:dyDescent="0.25">
      <c r="A150" s="4" t="s">
        <v>13</v>
      </c>
      <c r="B150" s="4" t="s">
        <v>12</v>
      </c>
      <c r="C150" s="4"/>
      <c r="D150" s="4"/>
      <c r="E150" s="1" t="s">
        <v>0</v>
      </c>
      <c r="F150" s="1" t="s">
        <v>9</v>
      </c>
      <c r="G150" s="4" t="s">
        <v>377</v>
      </c>
      <c r="H150" s="17">
        <v>1</v>
      </c>
      <c r="I150" s="4" t="s">
        <v>377</v>
      </c>
      <c r="J150" s="4"/>
      <c r="K150" s="4" t="s">
        <v>537</v>
      </c>
      <c r="L150" s="4"/>
      <c r="M150" s="4"/>
      <c r="N150" s="24">
        <v>24.833877000000001</v>
      </c>
      <c r="O150" s="24">
        <v>59.428798</v>
      </c>
      <c r="P150" s="4" t="s">
        <v>150</v>
      </c>
      <c r="Q150" s="4" t="s">
        <v>12</v>
      </c>
      <c r="R150" s="4"/>
      <c r="S150" s="4"/>
      <c r="T150" s="4" t="str">
        <f t="shared" si="4"/>
        <v>PMG - BB -  - Peterburi tee ja Smuuli tee ristmik  *, linna  - 1</v>
      </c>
      <c r="U150" s="4" t="str">
        <f t="shared" si="5"/>
        <v xml:space="preserve">PMG - BB - Peterburi tee ja Smuuli tee ristmik  *, linna </v>
      </c>
      <c r="V150" s="40">
        <v>44562</v>
      </c>
      <c r="W150" s="31"/>
    </row>
    <row r="151" spans="1:23" ht="15" x14ac:dyDescent="0.25">
      <c r="A151" s="4" t="s">
        <v>13</v>
      </c>
      <c r="B151" s="4" t="s">
        <v>12</v>
      </c>
      <c r="C151" s="4"/>
      <c r="D151" s="4"/>
      <c r="E151" s="1" t="s">
        <v>0</v>
      </c>
      <c r="F151" s="1" t="s">
        <v>9</v>
      </c>
      <c r="G151" s="4" t="s">
        <v>378</v>
      </c>
      <c r="H151" s="17">
        <v>1</v>
      </c>
      <c r="I151" s="4" t="s">
        <v>378</v>
      </c>
      <c r="J151" s="4"/>
      <c r="K151" s="4" t="s">
        <v>538</v>
      </c>
      <c r="L151" s="4"/>
      <c r="M151" s="4"/>
      <c r="N151" s="24">
        <v>24.835892999999999</v>
      </c>
      <c r="O151" s="24">
        <v>59.429158000000001</v>
      </c>
      <c r="P151" s="4" t="s">
        <v>151</v>
      </c>
      <c r="Q151" s="4" t="s">
        <v>12</v>
      </c>
      <c r="R151" s="4"/>
      <c r="S151" s="4"/>
      <c r="T151" s="4" t="str">
        <f t="shared" si="4"/>
        <v>PMG - BB -  - Peterburi tee ja Smuuli tee ristmik, Circkle K juures *  - 1</v>
      </c>
      <c r="U151" s="4" t="str">
        <f t="shared" si="5"/>
        <v xml:space="preserve">PMG - BB - Peterburi tee ja Smuuli tee ristmik, Circkle K juures * </v>
      </c>
      <c r="V151" s="40">
        <v>44562</v>
      </c>
      <c r="W151" s="31"/>
    </row>
    <row r="152" spans="1:23" ht="15" x14ac:dyDescent="0.25">
      <c r="A152" s="4" t="s">
        <v>13</v>
      </c>
      <c r="B152" s="4" t="s">
        <v>12</v>
      </c>
      <c r="C152" s="4"/>
      <c r="D152" s="4"/>
      <c r="E152" s="1" t="s">
        <v>0</v>
      </c>
      <c r="F152" s="1" t="s">
        <v>9</v>
      </c>
      <c r="G152" s="4" t="s">
        <v>379</v>
      </c>
      <c r="H152" s="17">
        <v>1</v>
      </c>
      <c r="I152" s="4" t="s">
        <v>379</v>
      </c>
      <c r="J152" s="4"/>
      <c r="K152" s="4" t="s">
        <v>539</v>
      </c>
      <c r="L152" s="4"/>
      <c r="M152" s="4"/>
      <c r="N152" s="24">
        <v>24.861079</v>
      </c>
      <c r="O152" s="24">
        <v>59.433675999999998</v>
      </c>
      <c r="P152" s="4" t="s">
        <v>152</v>
      </c>
      <c r="Q152" s="4" t="s">
        <v>12</v>
      </c>
      <c r="R152" s="4"/>
      <c r="S152" s="4"/>
      <c r="T152" s="4" t="str">
        <f t="shared" si="4"/>
        <v>PMG - BB -  - Peterburi tee ja Kuuli tn. ristmik, eraldusribal  *, suund kesklinnast - 1</v>
      </c>
      <c r="U152" s="4" t="str">
        <f t="shared" si="5"/>
        <v>PMG - BB - Peterburi tee ja Kuuli tn. ristmik, eraldusribal  *, suund kesklinnast</v>
      </c>
      <c r="V152" s="40">
        <v>44562</v>
      </c>
      <c r="W152" s="31"/>
    </row>
    <row r="153" spans="1:23" ht="15" x14ac:dyDescent="0.25">
      <c r="A153" s="4" t="s">
        <v>13</v>
      </c>
      <c r="B153" s="4" t="s">
        <v>12</v>
      </c>
      <c r="C153" s="4"/>
      <c r="D153" s="4"/>
      <c r="E153" s="1" t="s">
        <v>0</v>
      </c>
      <c r="F153" s="1" t="s">
        <v>9</v>
      </c>
      <c r="G153" s="4" t="s">
        <v>380</v>
      </c>
      <c r="H153" s="17">
        <v>1</v>
      </c>
      <c r="I153" s="4" t="s">
        <v>380</v>
      </c>
      <c r="J153" s="4"/>
      <c r="K153" s="4" t="s">
        <v>539</v>
      </c>
      <c r="L153" s="4"/>
      <c r="M153" s="4"/>
      <c r="N153" s="24">
        <v>24.861079</v>
      </c>
      <c r="O153" s="24">
        <v>59.433675999999998</v>
      </c>
      <c r="P153" s="4" t="s">
        <v>153</v>
      </c>
      <c r="Q153" s="4" t="s">
        <v>12</v>
      </c>
      <c r="R153" s="4"/>
      <c r="S153" s="4"/>
      <c r="T153" s="4" t="str">
        <f t="shared" si="4"/>
        <v>PMG - BB -  - Peterburi tee ja Kuuli tn. ristmik, eraldusribal  *, suund kesklinna  - 1</v>
      </c>
      <c r="U153" s="4" t="str">
        <f t="shared" si="5"/>
        <v xml:space="preserve">PMG - BB - Peterburi tee ja Kuuli tn. ristmik, eraldusribal  *, suund kesklinna </v>
      </c>
      <c r="V153" s="40">
        <v>44562</v>
      </c>
      <c r="W153" s="31"/>
    </row>
    <row r="154" spans="1:23" ht="15" x14ac:dyDescent="0.25">
      <c r="A154" s="4" t="s">
        <v>13</v>
      </c>
      <c r="B154" s="4" t="s">
        <v>12</v>
      </c>
      <c r="C154" s="4"/>
      <c r="D154" s="4"/>
      <c r="E154" s="1" t="s">
        <v>0</v>
      </c>
      <c r="F154" s="1" t="s">
        <v>9</v>
      </c>
      <c r="G154" s="4" t="s">
        <v>381</v>
      </c>
      <c r="H154" s="17">
        <v>1</v>
      </c>
      <c r="I154" s="4" t="s">
        <v>381</v>
      </c>
      <c r="J154" s="4"/>
      <c r="K154" s="4" t="s">
        <v>540</v>
      </c>
      <c r="L154" s="4"/>
      <c r="M154" s="4"/>
      <c r="N154" s="24">
        <v>24.864719999999998</v>
      </c>
      <c r="O154" s="24">
        <v>59.434375000000003</v>
      </c>
      <c r="P154" s="4" t="s">
        <v>154</v>
      </c>
      <c r="Q154" s="4" t="s">
        <v>12</v>
      </c>
      <c r="R154" s="4"/>
      <c r="S154" s="4"/>
      <c r="T154" s="4" t="str">
        <f t="shared" si="4"/>
        <v>PMG - BB -  - Peterburi tee ja Paneeli tn rismik *, suund kesklinnast - 1</v>
      </c>
      <c r="U154" s="4" t="str">
        <f t="shared" si="5"/>
        <v>PMG - BB - Peterburi tee ja Paneeli tn rismik *, suund kesklinnast</v>
      </c>
      <c r="V154" s="40">
        <v>44562</v>
      </c>
      <c r="W154" s="31"/>
    </row>
    <row r="155" spans="1:23" ht="15" x14ac:dyDescent="0.25">
      <c r="A155" s="4" t="s">
        <v>13</v>
      </c>
      <c r="B155" s="4" t="s">
        <v>12</v>
      </c>
      <c r="C155" s="4"/>
      <c r="D155" s="4"/>
      <c r="E155" s="1" t="s">
        <v>0</v>
      </c>
      <c r="F155" s="1" t="s">
        <v>9</v>
      </c>
      <c r="G155" s="4" t="s">
        <v>382</v>
      </c>
      <c r="H155" s="17">
        <v>1</v>
      </c>
      <c r="I155" s="4" t="s">
        <v>382</v>
      </c>
      <c r="J155" s="4"/>
      <c r="K155" s="4" t="s">
        <v>540</v>
      </c>
      <c r="L155" s="4"/>
      <c r="M155" s="4"/>
      <c r="N155" s="24">
        <v>24.864719999999998</v>
      </c>
      <c r="O155" s="24">
        <v>59.434375000000003</v>
      </c>
      <c r="P155" s="4" t="s">
        <v>155</v>
      </c>
      <c r="Q155" s="4" t="s">
        <v>12</v>
      </c>
      <c r="R155" s="4"/>
      <c r="S155" s="4"/>
      <c r="T155" s="4" t="str">
        <f t="shared" si="4"/>
        <v>PMG - BB -  - Peterburi tee ja Paneeli tn rismik *, suund kesklinna - 1</v>
      </c>
      <c r="U155" s="4" t="str">
        <f t="shared" si="5"/>
        <v>PMG - BB - Peterburi tee ja Paneeli tn rismik *, suund kesklinna</v>
      </c>
      <c r="V155" s="40">
        <v>44562</v>
      </c>
      <c r="W155" s="31"/>
    </row>
    <row r="156" spans="1:23" ht="15" x14ac:dyDescent="0.25">
      <c r="A156" s="4" t="s">
        <v>13</v>
      </c>
      <c r="B156" s="4" t="s">
        <v>12</v>
      </c>
      <c r="C156" s="4"/>
      <c r="D156" s="4"/>
      <c r="E156" s="1" t="s">
        <v>0</v>
      </c>
      <c r="F156" s="1" t="s">
        <v>9</v>
      </c>
      <c r="G156" s="4" t="s">
        <v>383</v>
      </c>
      <c r="H156" s="17">
        <v>1</v>
      </c>
      <c r="I156" s="4" t="s">
        <v>383</v>
      </c>
      <c r="J156" s="4"/>
      <c r="K156" s="4" t="s">
        <v>541</v>
      </c>
      <c r="L156" s="4"/>
      <c r="M156" s="4"/>
      <c r="N156" s="24">
        <v>24.867775999999999</v>
      </c>
      <c r="O156" s="24">
        <v>59.435008000000003</v>
      </c>
      <c r="P156" s="4" t="s">
        <v>156</v>
      </c>
      <c r="Q156" s="4" t="s">
        <v>12</v>
      </c>
      <c r="R156" s="4"/>
      <c r="S156" s="4"/>
      <c r="T156" s="4" t="str">
        <f t="shared" si="4"/>
        <v>PMG - BB -  - Peterburi tee Nissani Keskusega kohakuti suund kesklinna - 1</v>
      </c>
      <c r="U156" s="4" t="str">
        <f t="shared" si="5"/>
        <v>PMG - BB - Peterburi tee Nissani Keskusega kohakuti suund kesklinna</v>
      </c>
      <c r="V156" s="40">
        <v>44562</v>
      </c>
      <c r="W156" s="31"/>
    </row>
    <row r="157" spans="1:23" ht="15" x14ac:dyDescent="0.25">
      <c r="A157" s="4" t="s">
        <v>13</v>
      </c>
      <c r="B157" s="4" t="s">
        <v>12</v>
      </c>
      <c r="C157" s="4"/>
      <c r="D157" s="4"/>
      <c r="E157" s="1" t="s">
        <v>0</v>
      </c>
      <c r="F157" s="1" t="s">
        <v>9</v>
      </c>
      <c r="G157" s="4" t="s">
        <v>384</v>
      </c>
      <c r="H157" s="17">
        <v>1</v>
      </c>
      <c r="I157" s="4" t="s">
        <v>384</v>
      </c>
      <c r="J157" s="4"/>
      <c r="K157" s="4" t="s">
        <v>541</v>
      </c>
      <c r="L157" s="4"/>
      <c r="M157" s="4"/>
      <c r="N157" s="24">
        <v>24.867775999999999</v>
      </c>
      <c r="O157" s="24">
        <v>59.435008000000003</v>
      </c>
      <c r="P157" s="4" t="s">
        <v>157</v>
      </c>
      <c r="Q157" s="4" t="s">
        <v>12</v>
      </c>
      <c r="R157" s="4"/>
      <c r="S157" s="4"/>
      <c r="T157" s="4" t="str">
        <f t="shared" si="4"/>
        <v>PMG - BB -  - Peterburi tee Nissani Keskusega kohakuti suund  kesklinnast - 1</v>
      </c>
      <c r="U157" s="4" t="str">
        <f t="shared" si="5"/>
        <v>PMG - BB - Peterburi tee Nissani Keskusega kohakuti suund  kesklinnast</v>
      </c>
      <c r="V157" s="40">
        <v>44562</v>
      </c>
      <c r="W157" s="31"/>
    </row>
    <row r="158" spans="1:23" ht="15" x14ac:dyDescent="0.25">
      <c r="A158" s="4" t="s">
        <v>13</v>
      </c>
      <c r="B158" s="4" t="s">
        <v>12</v>
      </c>
      <c r="C158" s="4"/>
      <c r="D158" s="4"/>
      <c r="E158" s="1" t="s">
        <v>0</v>
      </c>
      <c r="F158" s="1" t="s">
        <v>9</v>
      </c>
      <c r="G158" s="4" t="s">
        <v>385</v>
      </c>
      <c r="H158" s="17">
        <v>1</v>
      </c>
      <c r="I158" s="4" t="s">
        <v>385</v>
      </c>
      <c r="J158" s="4"/>
      <c r="K158" s="4" t="s">
        <v>542</v>
      </c>
      <c r="L158" s="4"/>
      <c r="M158" s="4"/>
      <c r="N158" s="24">
        <v>24.873915</v>
      </c>
      <c r="O158" s="24">
        <v>59.436172999999997</v>
      </c>
      <c r="P158" s="4" t="s">
        <v>158</v>
      </c>
      <c r="Q158" s="4" t="s">
        <v>12</v>
      </c>
      <c r="R158" s="4"/>
      <c r="S158" s="4"/>
      <c r="T158" s="4" t="str">
        <f t="shared" si="4"/>
        <v>PMG - BB -  - Peterburi tee ja Mustakivi tee ristmik *, suund kesklinnast - 1</v>
      </c>
      <c r="U158" s="4" t="str">
        <f t="shared" si="5"/>
        <v>PMG - BB - Peterburi tee ja Mustakivi tee ristmik *, suund kesklinnast</v>
      </c>
      <c r="V158" s="40">
        <v>44562</v>
      </c>
      <c r="W158" s="31"/>
    </row>
    <row r="159" spans="1:23" ht="15" x14ac:dyDescent="0.25">
      <c r="A159" s="4" t="s">
        <v>13</v>
      </c>
      <c r="B159" s="4" t="s">
        <v>12</v>
      </c>
      <c r="C159" s="4"/>
      <c r="D159" s="4"/>
      <c r="E159" s="1" t="s">
        <v>0</v>
      </c>
      <c r="F159" s="1" t="s">
        <v>9</v>
      </c>
      <c r="G159" s="4" t="s">
        <v>386</v>
      </c>
      <c r="H159" s="17">
        <v>1</v>
      </c>
      <c r="I159" s="4" t="s">
        <v>386</v>
      </c>
      <c r="J159" s="4"/>
      <c r="K159" s="4" t="s">
        <v>542</v>
      </c>
      <c r="L159" s="4"/>
      <c r="M159" s="4"/>
      <c r="N159" s="24">
        <v>24.873915</v>
      </c>
      <c r="O159" s="24">
        <v>59.436172999999997</v>
      </c>
      <c r="P159" s="4" t="s">
        <v>159</v>
      </c>
      <c r="Q159" s="4" t="s">
        <v>12</v>
      </c>
      <c r="R159" s="4"/>
      <c r="S159" s="4"/>
      <c r="T159" s="4" t="str">
        <f t="shared" si="4"/>
        <v>PMG - BB -  - Peterburi tee ja Mustakivi tee ristmik *, suund kesklinna  - 1</v>
      </c>
      <c r="U159" s="4" t="str">
        <f t="shared" si="5"/>
        <v xml:space="preserve">PMG - BB - Peterburi tee ja Mustakivi tee ristmik *, suund kesklinna </v>
      </c>
      <c r="V159" s="40">
        <v>44562</v>
      </c>
      <c r="W159" s="31"/>
    </row>
    <row r="160" spans="1:23" ht="15" x14ac:dyDescent="0.25">
      <c r="A160" s="4" t="s">
        <v>13</v>
      </c>
      <c r="B160" s="4" t="s">
        <v>12</v>
      </c>
      <c r="C160" s="4"/>
      <c r="D160" s="4"/>
      <c r="E160" s="1" t="s">
        <v>0</v>
      </c>
      <c r="F160" s="1" t="s">
        <v>9</v>
      </c>
      <c r="G160" s="4" t="s">
        <v>387</v>
      </c>
      <c r="H160" s="17">
        <v>1</v>
      </c>
      <c r="I160" s="4" t="s">
        <v>387</v>
      </c>
      <c r="J160" s="4"/>
      <c r="K160" s="4" t="s">
        <v>543</v>
      </c>
      <c r="L160" s="4"/>
      <c r="M160" s="4"/>
      <c r="N160" s="24">
        <v>24.871721999999998</v>
      </c>
      <c r="O160" s="24">
        <v>59.435899999999997</v>
      </c>
      <c r="P160" s="4" t="s">
        <v>160</v>
      </c>
      <c r="Q160" s="4" t="s">
        <v>12</v>
      </c>
      <c r="R160" s="4"/>
      <c r="S160" s="4"/>
      <c r="T160" s="4" t="str">
        <f t="shared" si="4"/>
        <v>PMG - BB -  - Peterburi tee, enne Mustakivi ritmikku (eraldusribal)  valgustuseta - 1</v>
      </c>
      <c r="U160" s="4" t="str">
        <f t="shared" si="5"/>
        <v>PMG - BB - Peterburi tee, enne Mustakivi ritmikku (eraldusribal)  valgustuseta</v>
      </c>
      <c r="V160" s="40">
        <v>44562</v>
      </c>
      <c r="W160" s="31"/>
    </row>
    <row r="161" spans="1:23" ht="15" x14ac:dyDescent="0.25">
      <c r="A161" s="4" t="s">
        <v>13</v>
      </c>
      <c r="B161" s="4" t="s">
        <v>12</v>
      </c>
      <c r="C161" s="4"/>
      <c r="D161" s="4"/>
      <c r="E161" s="1" t="s">
        <v>0</v>
      </c>
      <c r="F161" s="1" t="s">
        <v>9</v>
      </c>
      <c r="G161" s="4" t="s">
        <v>387</v>
      </c>
      <c r="H161" s="17">
        <v>2</v>
      </c>
      <c r="I161" s="4" t="s">
        <v>387</v>
      </c>
      <c r="J161" s="4"/>
      <c r="K161" s="4" t="s">
        <v>543</v>
      </c>
      <c r="L161" s="4"/>
      <c r="M161" s="4"/>
      <c r="N161" s="24">
        <v>24.871721999999998</v>
      </c>
      <c r="O161" s="24">
        <v>59.435899999999997</v>
      </c>
      <c r="P161" s="4" t="s">
        <v>161</v>
      </c>
      <c r="Q161" s="4" t="s">
        <v>12</v>
      </c>
      <c r="R161" s="4"/>
      <c r="S161" s="4"/>
      <c r="T161" s="4" t="str">
        <f t="shared" si="4"/>
        <v>PMG - BB -  - Peterburi tee, enne Mustakivi ritmikku (eraldusribal)  valgustuseta - 2</v>
      </c>
      <c r="U161" s="4" t="str">
        <f t="shared" si="5"/>
        <v>PMG - BB - Peterburi tee, enne Mustakivi ritmikku (eraldusribal)  valgustuseta</v>
      </c>
      <c r="V161" s="40">
        <v>44562</v>
      </c>
      <c r="W161" s="31"/>
    </row>
    <row r="162" spans="1:23" ht="15" x14ac:dyDescent="0.25">
      <c r="A162" s="4" t="s">
        <v>13</v>
      </c>
      <c r="B162" s="4" t="s">
        <v>12</v>
      </c>
      <c r="C162" s="4"/>
      <c r="D162" s="4"/>
      <c r="E162" s="1" t="s">
        <v>0</v>
      </c>
      <c r="F162" s="1" t="s">
        <v>9</v>
      </c>
      <c r="G162" s="4" t="s">
        <v>388</v>
      </c>
      <c r="H162" s="17">
        <v>1</v>
      </c>
      <c r="I162" s="4" t="s">
        <v>388</v>
      </c>
      <c r="J162" s="4"/>
      <c r="K162" s="4" t="s">
        <v>544</v>
      </c>
      <c r="L162" s="4"/>
      <c r="M162" s="4"/>
      <c r="N162" s="24">
        <v>24.79102</v>
      </c>
      <c r="O162" s="24">
        <v>59.424979</v>
      </c>
      <c r="P162" s="4" t="s">
        <v>162</v>
      </c>
      <c r="Q162" s="4" t="s">
        <v>12</v>
      </c>
      <c r="R162" s="4"/>
      <c r="S162" s="4"/>
      <c r="T162" s="4" t="str">
        <f t="shared" si="4"/>
        <v>PMG - BB -  - Peterburi tee, Katusepapi tn juures,  enne Tartu mnt ristmikku, kesklinna - 1</v>
      </c>
      <c r="U162" s="4" t="str">
        <f t="shared" si="5"/>
        <v>PMG - BB - Peterburi tee, Katusepapi tn juures,  enne Tartu mnt ristmikku, kesklinna</v>
      </c>
      <c r="V162" s="40">
        <v>44562</v>
      </c>
      <c r="W162" s="31"/>
    </row>
    <row r="163" spans="1:23" ht="15" x14ac:dyDescent="0.25">
      <c r="A163" s="4" t="s">
        <v>13</v>
      </c>
      <c r="B163" s="4" t="s">
        <v>12</v>
      </c>
      <c r="C163" s="4"/>
      <c r="D163" s="4"/>
      <c r="E163" s="1" t="s">
        <v>0</v>
      </c>
      <c r="F163" s="1" t="s">
        <v>9</v>
      </c>
      <c r="G163" s="4" t="s">
        <v>389</v>
      </c>
      <c r="H163" s="17">
        <v>1</v>
      </c>
      <c r="I163" s="4" t="s">
        <v>389</v>
      </c>
      <c r="J163" s="4"/>
      <c r="K163" s="4" t="s">
        <v>544</v>
      </c>
      <c r="L163" s="4"/>
      <c r="M163" s="4"/>
      <c r="N163" s="24">
        <v>24.79102</v>
      </c>
      <c r="O163" s="24">
        <v>59.424979</v>
      </c>
      <c r="P163" s="4" t="s">
        <v>163</v>
      </c>
      <c r="Q163" s="4" t="s">
        <v>12</v>
      </c>
      <c r="R163" s="4"/>
      <c r="S163" s="4"/>
      <c r="T163" s="4" t="str">
        <f t="shared" si="4"/>
        <v>PMG - BB -  - Peterburi tee , Katusepapi tn juures,  enne Tartu mnt ristmikku, kesklinnast - 1</v>
      </c>
      <c r="U163" s="4" t="str">
        <f t="shared" si="5"/>
        <v>PMG - BB - Peterburi tee , Katusepapi tn juures,  enne Tartu mnt ristmikku, kesklinnast</v>
      </c>
      <c r="V163" s="40">
        <v>44562</v>
      </c>
      <c r="W163" s="31"/>
    </row>
    <row r="164" spans="1:23" ht="15" x14ac:dyDescent="0.25">
      <c r="A164" s="4" t="s">
        <v>13</v>
      </c>
      <c r="B164" s="4" t="s">
        <v>12</v>
      </c>
      <c r="C164" s="4"/>
      <c r="D164" s="4"/>
      <c r="E164" s="1" t="s">
        <v>0</v>
      </c>
      <c r="F164" s="1" t="s">
        <v>9</v>
      </c>
      <c r="G164" s="4" t="s">
        <v>390</v>
      </c>
      <c r="H164" s="17">
        <v>1</v>
      </c>
      <c r="I164" s="4" t="s">
        <v>390</v>
      </c>
      <c r="J164" s="4"/>
      <c r="K164" s="4" t="s">
        <v>534</v>
      </c>
      <c r="L164" s="4"/>
      <c r="M164" s="4"/>
      <c r="N164" s="24">
        <v>24.798151000000001</v>
      </c>
      <c r="O164" s="24">
        <v>59.425913000000001</v>
      </c>
      <c r="P164" s="4"/>
      <c r="Q164" s="4" t="s">
        <v>12</v>
      </c>
      <c r="R164" s="4"/>
      <c r="S164" s="4"/>
      <c r="T164" s="4" t="str">
        <f t="shared" si="4"/>
        <v>PMG - BB -  - Peterburi tee ja Majaka tn rist suund kesklinna - 1</v>
      </c>
      <c r="U164" s="4" t="str">
        <f t="shared" si="5"/>
        <v>PMG - BB - Peterburi tee ja Majaka tn rist suund kesklinna</v>
      </c>
      <c r="V164" s="40">
        <v>44562</v>
      </c>
      <c r="W164" s="31"/>
    </row>
    <row r="165" spans="1:23" ht="15" x14ac:dyDescent="0.25">
      <c r="A165" s="4" t="s">
        <v>13</v>
      </c>
      <c r="B165" s="4" t="s">
        <v>12</v>
      </c>
      <c r="C165" s="4"/>
      <c r="D165" s="4"/>
      <c r="E165" s="1" t="s">
        <v>0</v>
      </c>
      <c r="F165" s="1" t="s">
        <v>9</v>
      </c>
      <c r="G165" s="4" t="s">
        <v>391</v>
      </c>
      <c r="H165" s="17">
        <v>1</v>
      </c>
      <c r="I165" s="4" t="s">
        <v>391</v>
      </c>
      <c r="J165" s="4"/>
      <c r="K165" s="4" t="s">
        <v>545</v>
      </c>
      <c r="L165" s="4"/>
      <c r="M165" s="4"/>
      <c r="N165" s="24">
        <v>24.823324</v>
      </c>
      <c r="O165" s="24">
        <v>59.427460000000004</v>
      </c>
      <c r="P165" s="4" t="s">
        <v>164</v>
      </c>
      <c r="Q165" s="4" t="s">
        <v>12</v>
      </c>
      <c r="R165" s="4"/>
      <c r="S165" s="4"/>
      <c r="T165" s="4" t="str">
        <f t="shared" si="4"/>
        <v>PMG - BB -  - Peterburi tee 61*, kesklinna - 1</v>
      </c>
      <c r="U165" s="4" t="str">
        <f t="shared" si="5"/>
        <v>PMG - BB - Peterburi tee 61*, kesklinna</v>
      </c>
      <c r="V165" s="40">
        <v>44562</v>
      </c>
      <c r="W165" s="31"/>
    </row>
    <row r="166" spans="1:23" ht="15" x14ac:dyDescent="0.25">
      <c r="A166" s="4" t="s">
        <v>13</v>
      </c>
      <c r="B166" s="4" t="s">
        <v>12</v>
      </c>
      <c r="C166" s="4"/>
      <c r="D166" s="4"/>
      <c r="E166" s="1" t="s">
        <v>0</v>
      </c>
      <c r="F166" s="1" t="s">
        <v>9</v>
      </c>
      <c r="G166" s="4" t="s">
        <v>392</v>
      </c>
      <c r="H166" s="17">
        <v>1</v>
      </c>
      <c r="I166" s="4" t="s">
        <v>392</v>
      </c>
      <c r="J166" s="4"/>
      <c r="K166" s="4" t="s">
        <v>545</v>
      </c>
      <c r="L166" s="4"/>
      <c r="M166" s="4"/>
      <c r="N166" s="24">
        <v>24.823324</v>
      </c>
      <c r="O166" s="24">
        <v>59.427460000000004</v>
      </c>
      <c r="P166" s="4" t="s">
        <v>165</v>
      </c>
      <c r="Q166" s="4" t="s">
        <v>12</v>
      </c>
      <c r="R166" s="4"/>
      <c r="S166" s="4"/>
      <c r="T166" s="4" t="str">
        <f t="shared" si="4"/>
        <v>PMG - BB -  - Peterburi tee 61*, kesklinnast - 1</v>
      </c>
      <c r="U166" s="4" t="str">
        <f t="shared" si="5"/>
        <v>PMG - BB - Peterburi tee 61*, kesklinnast</v>
      </c>
      <c r="V166" s="40">
        <v>44562</v>
      </c>
      <c r="W166" s="31"/>
    </row>
    <row r="167" spans="1:23" ht="15" x14ac:dyDescent="0.25">
      <c r="A167" s="4" t="s">
        <v>13</v>
      </c>
      <c r="B167" s="4" t="s">
        <v>12</v>
      </c>
      <c r="C167" s="4"/>
      <c r="D167" s="4"/>
      <c r="E167" s="1" t="s">
        <v>0</v>
      </c>
      <c r="F167" s="1" t="s">
        <v>9</v>
      </c>
      <c r="G167" s="4" t="s">
        <v>393</v>
      </c>
      <c r="H167" s="17">
        <v>1</v>
      </c>
      <c r="I167" s="4" t="s">
        <v>393</v>
      </c>
      <c r="J167" s="4"/>
      <c r="K167" s="4" t="s">
        <v>546</v>
      </c>
      <c r="L167" s="4"/>
      <c r="M167" s="4"/>
      <c r="N167" s="24">
        <v>24.834320000000002</v>
      </c>
      <c r="O167" s="24">
        <v>59.429260999999997</v>
      </c>
      <c r="P167" s="4" t="s">
        <v>166</v>
      </c>
      <c r="Q167" s="4" t="s">
        <v>12</v>
      </c>
      <c r="R167" s="4"/>
      <c r="S167" s="4"/>
      <c r="T167" s="4" t="str">
        <f t="shared" si="4"/>
        <v>PMG - BB -  - Peterburi tee 67a ja Smuuli ristmik, Ericssoni maja juures*  - 1</v>
      </c>
      <c r="U167" s="4" t="str">
        <f t="shared" si="5"/>
        <v xml:space="preserve">PMG - BB - Peterburi tee 67a ja Smuuli ristmik, Ericssoni maja juures* </v>
      </c>
      <c r="V167" s="40">
        <v>44562</v>
      </c>
      <c r="W167" s="31"/>
    </row>
    <row r="168" spans="1:23" ht="15" x14ac:dyDescent="0.25">
      <c r="A168" s="4" t="s">
        <v>13</v>
      </c>
      <c r="B168" s="4" t="s">
        <v>12</v>
      </c>
      <c r="C168" s="4"/>
      <c r="D168" s="4"/>
      <c r="E168" s="1" t="s">
        <v>0</v>
      </c>
      <c r="F168" s="1" t="s">
        <v>9</v>
      </c>
      <c r="G168" s="4" t="s">
        <v>393</v>
      </c>
      <c r="H168" s="17">
        <v>2</v>
      </c>
      <c r="I168" s="4" t="s">
        <v>393</v>
      </c>
      <c r="J168" s="4"/>
      <c r="K168" s="4" t="s">
        <v>546</v>
      </c>
      <c r="L168" s="4"/>
      <c r="M168" s="4"/>
      <c r="N168" s="24">
        <v>24.834320000000002</v>
      </c>
      <c r="O168" s="24">
        <v>59.429260999999997</v>
      </c>
      <c r="P168" s="4" t="s">
        <v>167</v>
      </c>
      <c r="Q168" s="4" t="s">
        <v>12</v>
      </c>
      <c r="R168" s="4"/>
      <c r="S168" s="4"/>
      <c r="T168" s="4" t="str">
        <f t="shared" si="4"/>
        <v>PMG - BB -  - Peterburi tee 67a ja Smuuli ristmik, Ericssoni maja juures*  - 2</v>
      </c>
      <c r="U168" s="4" t="str">
        <f t="shared" si="5"/>
        <v xml:space="preserve">PMG - BB - Peterburi tee 67a ja Smuuli ristmik, Ericssoni maja juures* </v>
      </c>
      <c r="V168" s="40">
        <v>44562</v>
      </c>
      <c r="W168" s="31"/>
    </row>
    <row r="169" spans="1:23" ht="15" x14ac:dyDescent="0.25">
      <c r="A169" s="4" t="s">
        <v>13</v>
      </c>
      <c r="B169" s="4" t="s">
        <v>12</v>
      </c>
      <c r="C169" s="4"/>
      <c r="D169" s="4"/>
      <c r="E169" s="1" t="s">
        <v>0</v>
      </c>
      <c r="F169" s="1" t="s">
        <v>9</v>
      </c>
      <c r="G169" s="4" t="s">
        <v>394</v>
      </c>
      <c r="H169" s="17">
        <v>1</v>
      </c>
      <c r="I169" s="4" t="s">
        <v>394</v>
      </c>
      <c r="J169" s="4"/>
      <c r="K169" s="4" t="s">
        <v>547</v>
      </c>
      <c r="L169" s="4"/>
      <c r="M169" s="4"/>
      <c r="N169" s="24">
        <v>24.790431000000002</v>
      </c>
      <c r="O169" s="24">
        <v>59.433923</v>
      </c>
      <c r="P169" s="4" t="s">
        <v>168</v>
      </c>
      <c r="Q169" s="4" t="s">
        <v>12</v>
      </c>
      <c r="R169" s="4"/>
      <c r="S169" s="4"/>
      <c r="T169" s="4" t="str">
        <f t="shared" si="4"/>
        <v>PMG - BB -  - Laagna tee algus, post nr.1, suund kesklinnast - 1</v>
      </c>
      <c r="U169" s="4" t="str">
        <f t="shared" si="5"/>
        <v>PMG - BB - Laagna tee algus, post nr.1, suund kesklinnast</v>
      </c>
      <c r="V169" s="40">
        <v>44562</v>
      </c>
      <c r="W169" s="31"/>
    </row>
    <row r="170" spans="1:23" ht="15" x14ac:dyDescent="0.25">
      <c r="A170" s="4" t="s">
        <v>13</v>
      </c>
      <c r="B170" s="4" t="s">
        <v>12</v>
      </c>
      <c r="C170" s="4"/>
      <c r="D170" s="4"/>
      <c r="E170" s="1" t="s">
        <v>0</v>
      </c>
      <c r="F170" s="1" t="s">
        <v>9</v>
      </c>
      <c r="G170" s="4" t="s">
        <v>395</v>
      </c>
      <c r="H170" s="17">
        <v>1</v>
      </c>
      <c r="I170" s="4" t="s">
        <v>395</v>
      </c>
      <c r="J170" s="4"/>
      <c r="K170" s="4" t="s">
        <v>547</v>
      </c>
      <c r="L170" s="4"/>
      <c r="M170" s="4"/>
      <c r="N170" s="24">
        <v>24.790431000000002</v>
      </c>
      <c r="O170" s="24">
        <v>59.433923</v>
      </c>
      <c r="P170" s="4" t="s">
        <v>169</v>
      </c>
      <c r="Q170" s="4" t="s">
        <v>12</v>
      </c>
      <c r="R170" s="4"/>
      <c r="S170" s="4"/>
      <c r="T170" s="4" t="str">
        <f t="shared" si="4"/>
        <v>PMG - BB -  - Laagna tee algus, post nr.1, suund kesklinna - 1</v>
      </c>
      <c r="U170" s="4" t="str">
        <f t="shared" si="5"/>
        <v>PMG - BB - Laagna tee algus, post nr.1, suund kesklinna</v>
      </c>
      <c r="V170" s="40">
        <v>44562</v>
      </c>
      <c r="W170" s="31"/>
    </row>
    <row r="171" spans="1:23" ht="15" x14ac:dyDescent="0.25">
      <c r="A171" s="4" t="s">
        <v>13</v>
      </c>
      <c r="B171" s="4" t="s">
        <v>12</v>
      </c>
      <c r="C171" s="4"/>
      <c r="D171" s="4"/>
      <c r="E171" s="1" t="s">
        <v>0</v>
      </c>
      <c r="F171" s="1" t="s">
        <v>9</v>
      </c>
      <c r="G171" s="4" t="s">
        <v>396</v>
      </c>
      <c r="H171" s="17">
        <v>1</v>
      </c>
      <c r="I171" s="4" t="s">
        <v>396</v>
      </c>
      <c r="J171" s="4"/>
      <c r="K171" s="4" t="s">
        <v>548</v>
      </c>
      <c r="L171" s="4"/>
      <c r="M171" s="4"/>
      <c r="N171" s="24">
        <v>24.794041</v>
      </c>
      <c r="O171" s="24">
        <v>59.434956</v>
      </c>
      <c r="P171" s="4" t="s">
        <v>170</v>
      </c>
      <c r="Q171" s="4" t="s">
        <v>12</v>
      </c>
      <c r="R171" s="4"/>
      <c r="S171" s="4"/>
      <c r="T171" s="4" t="str">
        <f t="shared" si="4"/>
        <v>PMG - BB -  - Laagna tee, Pallasti silla juures -1 (eraldusribal), suund kesklinnast   - 1</v>
      </c>
      <c r="U171" s="4" t="str">
        <f t="shared" si="5"/>
        <v xml:space="preserve">PMG - BB - Laagna tee, Pallasti silla juures -1 (eraldusribal), suund kesklinnast  </v>
      </c>
      <c r="V171" s="40">
        <v>44562</v>
      </c>
      <c r="W171" s="31"/>
    </row>
    <row r="172" spans="1:23" ht="15" x14ac:dyDescent="0.25">
      <c r="A172" s="4" t="s">
        <v>13</v>
      </c>
      <c r="B172" s="4" t="s">
        <v>12</v>
      </c>
      <c r="C172" s="4"/>
      <c r="D172" s="4"/>
      <c r="E172" s="1" t="s">
        <v>0</v>
      </c>
      <c r="F172" s="1" t="s">
        <v>9</v>
      </c>
      <c r="G172" s="4" t="s">
        <v>397</v>
      </c>
      <c r="H172" s="17">
        <v>1</v>
      </c>
      <c r="I172" s="4" t="s">
        <v>397</v>
      </c>
      <c r="J172" s="4"/>
      <c r="K172" s="4" t="s">
        <v>548</v>
      </c>
      <c r="L172" s="4"/>
      <c r="M172" s="4"/>
      <c r="N172" s="24">
        <v>24.794041</v>
      </c>
      <c r="O172" s="24">
        <v>59.434956</v>
      </c>
      <c r="P172" s="4" t="s">
        <v>171</v>
      </c>
      <c r="Q172" s="4" t="s">
        <v>12</v>
      </c>
      <c r="R172" s="4"/>
      <c r="S172" s="4"/>
      <c r="T172" s="4" t="str">
        <f t="shared" si="4"/>
        <v>PMG - BB -  - Laagna tee, Pallasti silla juures -1 (eraldusribal), suund kesklinna   - 1</v>
      </c>
      <c r="U172" s="4" t="str">
        <f t="shared" si="5"/>
        <v xml:space="preserve">PMG - BB - Laagna tee, Pallasti silla juures -1 (eraldusribal), suund kesklinna  </v>
      </c>
      <c r="V172" s="40">
        <v>44562</v>
      </c>
      <c r="W172" s="31"/>
    </row>
    <row r="173" spans="1:23" ht="15" x14ac:dyDescent="0.25">
      <c r="A173" s="4" t="s">
        <v>13</v>
      </c>
      <c r="B173" s="4" t="s">
        <v>12</v>
      </c>
      <c r="C173" s="4"/>
      <c r="D173" s="4"/>
      <c r="E173" s="1" t="s">
        <v>0</v>
      </c>
      <c r="F173" s="1" t="s">
        <v>9</v>
      </c>
      <c r="G173" s="4" t="s">
        <v>398</v>
      </c>
      <c r="H173" s="17">
        <v>1</v>
      </c>
      <c r="I173" s="4" t="s">
        <v>398</v>
      </c>
      <c r="J173" s="4"/>
      <c r="K173" s="4" t="s">
        <v>548</v>
      </c>
      <c r="L173" s="4"/>
      <c r="M173" s="4"/>
      <c r="N173" s="24">
        <v>24.800649</v>
      </c>
      <c r="O173" s="24">
        <v>59.434908999999998</v>
      </c>
      <c r="P173" s="4" t="s">
        <v>172</v>
      </c>
      <c r="Q173" s="4" t="s">
        <v>12</v>
      </c>
      <c r="R173" s="4"/>
      <c r="S173" s="4"/>
      <c r="T173" s="4" t="str">
        <f t="shared" si="4"/>
        <v>PMG - BB -  - Laagna teel, Pallasti silla juures -2, eraldusribal, suunaga kesklinnast - 1</v>
      </c>
      <c r="U173" s="4" t="str">
        <f t="shared" si="5"/>
        <v>PMG - BB - Laagna teel, Pallasti silla juures -2, eraldusribal, suunaga kesklinnast</v>
      </c>
      <c r="V173" s="40">
        <v>44562</v>
      </c>
      <c r="W173" s="31"/>
    </row>
    <row r="174" spans="1:23" ht="15" x14ac:dyDescent="0.25">
      <c r="A174" s="4" t="s">
        <v>13</v>
      </c>
      <c r="B174" s="4" t="s">
        <v>12</v>
      </c>
      <c r="C174" s="4"/>
      <c r="D174" s="4"/>
      <c r="E174" s="1" t="s">
        <v>0</v>
      </c>
      <c r="F174" s="1" t="s">
        <v>9</v>
      </c>
      <c r="G174" s="4" t="s">
        <v>399</v>
      </c>
      <c r="H174" s="17">
        <v>1</v>
      </c>
      <c r="I174" s="4" t="s">
        <v>399</v>
      </c>
      <c r="J174" s="4"/>
      <c r="K174" s="4" t="s">
        <v>548</v>
      </c>
      <c r="L174" s="4"/>
      <c r="M174" s="4"/>
      <c r="N174" s="24">
        <v>24.800649</v>
      </c>
      <c r="O174" s="24">
        <v>59.434908999999998</v>
      </c>
      <c r="P174" s="4" t="s">
        <v>173</v>
      </c>
      <c r="Q174" s="4" t="s">
        <v>12</v>
      </c>
      <c r="R174" s="4"/>
      <c r="S174" s="4"/>
      <c r="T174" s="4" t="str">
        <f t="shared" si="4"/>
        <v>PMG - BB -  - Laagna teel, Pallasti silla juures -2, eraldusribal, suunaga kesklinna - 1</v>
      </c>
      <c r="U174" s="4" t="str">
        <f t="shared" si="5"/>
        <v>PMG - BB - Laagna teel, Pallasti silla juures -2, eraldusribal, suunaga kesklinna</v>
      </c>
      <c r="V174" s="40">
        <v>44562</v>
      </c>
      <c r="W174" s="31"/>
    </row>
    <row r="175" spans="1:23" ht="15" x14ac:dyDescent="0.25">
      <c r="A175" s="4" t="s">
        <v>13</v>
      </c>
      <c r="B175" s="4" t="s">
        <v>12</v>
      </c>
      <c r="C175" s="4"/>
      <c r="D175" s="4"/>
      <c r="E175" s="1" t="s">
        <v>0</v>
      </c>
      <c r="F175" s="1" t="s">
        <v>9</v>
      </c>
      <c r="G175" s="4" t="s">
        <v>400</v>
      </c>
      <c r="H175" s="17">
        <v>1</v>
      </c>
      <c r="I175" s="4" t="s">
        <v>400</v>
      </c>
      <c r="J175" s="4"/>
      <c r="K175" s="4" t="s">
        <v>549</v>
      </c>
      <c r="L175" s="4"/>
      <c r="M175" s="4"/>
      <c r="N175" s="24">
        <v>24.805717999999999</v>
      </c>
      <c r="O175" s="24">
        <v>59.435305999999997</v>
      </c>
      <c r="P175" s="4" t="s">
        <v>174</v>
      </c>
      <c r="Q175" s="4" t="s">
        <v>12</v>
      </c>
      <c r="R175" s="4"/>
      <c r="S175" s="4"/>
      <c r="T175" s="4" t="str">
        <f t="shared" si="4"/>
        <v>PMG - BB -  - Laagna tee,Võidujooksu silla juures, kesklinnast - 1</v>
      </c>
      <c r="U175" s="4" t="str">
        <f t="shared" si="5"/>
        <v>PMG - BB - Laagna tee,Võidujooksu silla juures, kesklinnast</v>
      </c>
      <c r="V175" s="40">
        <v>44562</v>
      </c>
      <c r="W175" s="31"/>
    </row>
    <row r="176" spans="1:23" ht="15" x14ac:dyDescent="0.25">
      <c r="A176" s="4" t="s">
        <v>13</v>
      </c>
      <c r="B176" s="4" t="s">
        <v>12</v>
      </c>
      <c r="C176" s="4"/>
      <c r="D176" s="4"/>
      <c r="E176" s="1" t="s">
        <v>0</v>
      </c>
      <c r="F176" s="1" t="s">
        <v>9</v>
      </c>
      <c r="G176" s="4" t="s">
        <v>401</v>
      </c>
      <c r="H176" s="17">
        <v>1</v>
      </c>
      <c r="I176" s="4" t="s">
        <v>401</v>
      </c>
      <c r="J176" s="4"/>
      <c r="K176" s="4" t="s">
        <v>549</v>
      </c>
      <c r="L176" s="4"/>
      <c r="M176" s="4"/>
      <c r="N176" s="24">
        <v>24.805717999999999</v>
      </c>
      <c r="O176" s="24">
        <v>59.435305999999997</v>
      </c>
      <c r="P176" s="4" t="s">
        <v>175</v>
      </c>
      <c r="Q176" s="4" t="s">
        <v>12</v>
      </c>
      <c r="R176" s="4"/>
      <c r="S176" s="4"/>
      <c r="T176" s="4" t="str">
        <f t="shared" si="4"/>
        <v>PMG - BB -  - Laagna tee, Võidujooksu silla juures, kesklinna - 1</v>
      </c>
      <c r="U176" s="4" t="str">
        <f t="shared" si="5"/>
        <v>PMG - BB - Laagna tee, Võidujooksu silla juures, kesklinna</v>
      </c>
      <c r="V176" s="40">
        <v>44562</v>
      </c>
      <c r="W176" s="31"/>
    </row>
    <row r="177" spans="1:23" ht="15" x14ac:dyDescent="0.25">
      <c r="A177" s="4" t="s">
        <v>13</v>
      </c>
      <c r="B177" s="4" t="s">
        <v>12</v>
      </c>
      <c r="C177" s="4"/>
      <c r="D177" s="4"/>
      <c r="E177" s="1" t="s">
        <v>0</v>
      </c>
      <c r="F177" s="1" t="s">
        <v>9</v>
      </c>
      <c r="G177" s="4" t="s">
        <v>402</v>
      </c>
      <c r="H177" s="17">
        <v>1</v>
      </c>
      <c r="I177" s="4" t="s">
        <v>402</v>
      </c>
      <c r="J177" s="4"/>
      <c r="K177" s="4" t="s">
        <v>550</v>
      </c>
      <c r="L177" s="4"/>
      <c r="M177" s="4"/>
      <c r="N177" s="24">
        <v>24.822709</v>
      </c>
      <c r="O177" s="24">
        <v>59.439377</v>
      </c>
      <c r="P177" s="4" t="s">
        <v>176</v>
      </c>
      <c r="Q177" s="4" t="s">
        <v>12</v>
      </c>
      <c r="R177" s="4"/>
      <c r="S177" s="4"/>
      <c r="T177" s="4" t="str">
        <f t="shared" si="4"/>
        <v>PMG - BB -  - Laagna tee/Smuuli viadukt 1, eraldusribal, suund kesklinnast - 1</v>
      </c>
      <c r="U177" s="4" t="str">
        <f t="shared" si="5"/>
        <v>PMG - BB - Laagna tee/Smuuli viadukt 1, eraldusribal, suund kesklinnast</v>
      </c>
      <c r="V177" s="40">
        <v>44562</v>
      </c>
      <c r="W177" s="31"/>
    </row>
    <row r="178" spans="1:23" ht="15" x14ac:dyDescent="0.25">
      <c r="A178" s="4" t="s">
        <v>13</v>
      </c>
      <c r="B178" s="4" t="s">
        <v>12</v>
      </c>
      <c r="C178" s="4"/>
      <c r="D178" s="4"/>
      <c r="E178" s="1" t="s">
        <v>0</v>
      </c>
      <c r="F178" s="1" t="s">
        <v>9</v>
      </c>
      <c r="G178" s="4" t="s">
        <v>403</v>
      </c>
      <c r="H178" s="17">
        <v>1</v>
      </c>
      <c r="I178" s="4" t="s">
        <v>403</v>
      </c>
      <c r="J178" s="4"/>
      <c r="K178" s="4" t="s">
        <v>550</v>
      </c>
      <c r="L178" s="4"/>
      <c r="M178" s="4"/>
      <c r="N178" s="24">
        <v>24.822709</v>
      </c>
      <c r="O178" s="24">
        <v>59.439377</v>
      </c>
      <c r="P178" s="4" t="s">
        <v>177</v>
      </c>
      <c r="Q178" s="4" t="s">
        <v>12</v>
      </c>
      <c r="R178" s="4"/>
      <c r="S178" s="4"/>
      <c r="T178" s="4" t="str">
        <f t="shared" si="4"/>
        <v>PMG - BB -  - Laagna tee/Smuuli viadukt 1, eraldusribal, suund kesklinna - 1</v>
      </c>
      <c r="U178" s="4" t="str">
        <f t="shared" si="5"/>
        <v>PMG - BB - Laagna tee/Smuuli viadukt 1, eraldusribal, suund kesklinna</v>
      </c>
      <c r="V178" s="40">
        <v>44562</v>
      </c>
      <c r="W178" s="31"/>
    </row>
    <row r="179" spans="1:23" ht="15" x14ac:dyDescent="0.25">
      <c r="A179" s="4" t="s">
        <v>13</v>
      </c>
      <c r="B179" s="4" t="s">
        <v>12</v>
      </c>
      <c r="C179" s="4"/>
      <c r="D179" s="4"/>
      <c r="E179" s="1" t="s">
        <v>0</v>
      </c>
      <c r="F179" s="1" t="s">
        <v>9</v>
      </c>
      <c r="G179" s="4" t="s">
        <v>404</v>
      </c>
      <c r="H179" s="17">
        <v>1</v>
      </c>
      <c r="I179" s="4" t="s">
        <v>404</v>
      </c>
      <c r="J179" s="4"/>
      <c r="K179" s="4" t="s">
        <v>551</v>
      </c>
      <c r="L179" s="4"/>
      <c r="M179" s="4"/>
      <c r="N179" s="24">
        <v>24.828261000000001</v>
      </c>
      <c r="O179" s="24">
        <v>59.439619</v>
      </c>
      <c r="P179" s="4" t="s">
        <v>178</v>
      </c>
      <c r="Q179" s="4" t="s">
        <v>12</v>
      </c>
      <c r="R179" s="4"/>
      <c r="S179" s="4"/>
      <c r="T179" s="4" t="str">
        <f t="shared" si="4"/>
        <v>PMG - BB -  - Laagna tee, Smuuli silla juures 2 (eraldusribal), linnast  - 1</v>
      </c>
      <c r="U179" s="4" t="str">
        <f t="shared" si="5"/>
        <v xml:space="preserve">PMG - BB - Laagna tee, Smuuli silla juures 2 (eraldusribal), linnast </v>
      </c>
      <c r="V179" s="40">
        <v>44562</v>
      </c>
      <c r="W179" s="31"/>
    </row>
    <row r="180" spans="1:23" ht="15" x14ac:dyDescent="0.25">
      <c r="A180" s="4" t="s">
        <v>13</v>
      </c>
      <c r="B180" s="4" t="s">
        <v>12</v>
      </c>
      <c r="C180" s="4"/>
      <c r="D180" s="4"/>
      <c r="E180" s="1" t="s">
        <v>0</v>
      </c>
      <c r="F180" s="1" t="s">
        <v>9</v>
      </c>
      <c r="G180" s="4" t="s">
        <v>405</v>
      </c>
      <c r="H180" s="17">
        <v>1</v>
      </c>
      <c r="I180" s="4" t="s">
        <v>405</v>
      </c>
      <c r="J180" s="4"/>
      <c r="K180" s="4" t="s">
        <v>551</v>
      </c>
      <c r="L180" s="4"/>
      <c r="M180" s="4"/>
      <c r="N180" s="24">
        <v>24.828261000000001</v>
      </c>
      <c r="O180" s="24">
        <v>59.439619</v>
      </c>
      <c r="P180" s="4" t="s">
        <v>179</v>
      </c>
      <c r="Q180" s="4" t="s">
        <v>12</v>
      </c>
      <c r="R180" s="4"/>
      <c r="S180" s="4"/>
      <c r="T180" s="4" t="str">
        <f t="shared" si="4"/>
        <v>PMG - BB -  - Laagna tee, Smuuli silla juures2 (eraldusribal), linna  - 1</v>
      </c>
      <c r="U180" s="4" t="str">
        <f t="shared" si="5"/>
        <v xml:space="preserve">PMG - BB - Laagna tee, Smuuli silla juures2 (eraldusribal), linna </v>
      </c>
      <c r="V180" s="40">
        <v>44562</v>
      </c>
      <c r="W180" s="31"/>
    </row>
    <row r="181" spans="1:23" ht="15" x14ac:dyDescent="0.25">
      <c r="A181" s="4" t="s">
        <v>13</v>
      </c>
      <c r="B181" s="4" t="s">
        <v>12</v>
      </c>
      <c r="C181" s="4"/>
      <c r="D181" s="4"/>
      <c r="E181" s="1" t="s">
        <v>0</v>
      </c>
      <c r="F181" s="1" t="s">
        <v>9</v>
      </c>
      <c r="G181" s="4" t="s">
        <v>406</v>
      </c>
      <c r="H181" s="17">
        <v>1</v>
      </c>
      <c r="I181" s="4" t="s">
        <v>406</v>
      </c>
      <c r="J181" s="4"/>
      <c r="K181" s="4" t="s">
        <v>552</v>
      </c>
      <c r="L181" s="4"/>
      <c r="M181" s="4"/>
      <c r="N181" s="24">
        <v>24.853296</v>
      </c>
      <c r="O181" s="24">
        <v>59.440454000000003</v>
      </c>
      <c r="P181" s="4" t="s">
        <v>180</v>
      </c>
      <c r="Q181" s="4" t="s">
        <v>12</v>
      </c>
      <c r="R181" s="4"/>
      <c r="S181" s="4"/>
      <c r="T181" s="4" t="str">
        <f t="shared" si="4"/>
        <v>PMG - BB -  - Laagna tee, Varraku silla juures, kesklinnast  - 1</v>
      </c>
      <c r="U181" s="4" t="str">
        <f t="shared" si="5"/>
        <v xml:space="preserve">PMG - BB - Laagna tee, Varraku silla juures, kesklinnast </v>
      </c>
      <c r="V181" s="40">
        <v>44562</v>
      </c>
      <c r="W181" s="31"/>
    </row>
    <row r="182" spans="1:23" ht="15" x14ac:dyDescent="0.25">
      <c r="A182" s="4" t="s">
        <v>13</v>
      </c>
      <c r="B182" s="4" t="s">
        <v>12</v>
      </c>
      <c r="C182" s="4"/>
      <c r="D182" s="4"/>
      <c r="E182" s="1" t="s">
        <v>0</v>
      </c>
      <c r="F182" s="1" t="s">
        <v>9</v>
      </c>
      <c r="G182" s="4" t="s">
        <v>407</v>
      </c>
      <c r="H182" s="17">
        <v>1</v>
      </c>
      <c r="I182" s="4" t="s">
        <v>407</v>
      </c>
      <c r="J182" s="4"/>
      <c r="K182" s="4" t="s">
        <v>552</v>
      </c>
      <c r="L182" s="4"/>
      <c r="M182" s="4"/>
      <c r="N182" s="24">
        <v>24.853296</v>
      </c>
      <c r="O182" s="24">
        <v>59.440454000000003</v>
      </c>
      <c r="P182" s="4" t="s">
        <v>181</v>
      </c>
      <c r="Q182" s="4" t="s">
        <v>12</v>
      </c>
      <c r="R182" s="4"/>
      <c r="S182" s="4"/>
      <c r="T182" s="4" t="str">
        <f t="shared" si="4"/>
        <v>PMG - BB -  - Laagna tee, Varraku silla juures, kesklinna  - 1</v>
      </c>
      <c r="U182" s="4" t="str">
        <f t="shared" si="5"/>
        <v xml:space="preserve">PMG - BB - Laagna tee, Varraku silla juures, kesklinna </v>
      </c>
      <c r="V182" s="40">
        <v>44562</v>
      </c>
      <c r="W182" s="31"/>
    </row>
    <row r="183" spans="1:23" ht="15" x14ac:dyDescent="0.25">
      <c r="A183" s="4" t="s">
        <v>13</v>
      </c>
      <c r="B183" s="4" t="s">
        <v>12</v>
      </c>
      <c r="C183" s="4"/>
      <c r="D183" s="4"/>
      <c r="E183" s="1" t="s">
        <v>0</v>
      </c>
      <c r="F183" s="1" t="s">
        <v>9</v>
      </c>
      <c r="G183" s="4" t="s">
        <v>408</v>
      </c>
      <c r="H183" s="17">
        <v>1</v>
      </c>
      <c r="I183" s="4" t="s">
        <v>408</v>
      </c>
      <c r="J183" s="4"/>
      <c r="K183" s="4" t="s">
        <v>553</v>
      </c>
      <c r="L183" s="4"/>
      <c r="M183" s="4"/>
      <c r="N183" s="24">
        <v>24.864301000000001</v>
      </c>
      <c r="O183" s="24">
        <v>59.441937000000003</v>
      </c>
      <c r="P183" s="4" t="s">
        <v>182</v>
      </c>
      <c r="Q183" s="4" t="s">
        <v>12</v>
      </c>
      <c r="R183" s="4"/>
      <c r="S183" s="4"/>
      <c r="T183" s="4" t="str">
        <f t="shared" si="4"/>
        <v>PMG - BB -  - Laagna tee,  Mustakivi silla juures  *, kesklinnast - 1</v>
      </c>
      <c r="U183" s="4" t="str">
        <f t="shared" si="5"/>
        <v>PMG - BB - Laagna tee,  Mustakivi silla juures  *, kesklinnast</v>
      </c>
      <c r="V183" s="40">
        <v>44562</v>
      </c>
      <c r="W183" s="31"/>
    </row>
    <row r="184" spans="1:23" ht="15" x14ac:dyDescent="0.25">
      <c r="A184" s="4" t="s">
        <v>13</v>
      </c>
      <c r="B184" s="4" t="s">
        <v>12</v>
      </c>
      <c r="C184" s="4"/>
      <c r="D184" s="4"/>
      <c r="E184" s="1" t="s">
        <v>0</v>
      </c>
      <c r="F184" s="1" t="s">
        <v>9</v>
      </c>
      <c r="G184" s="4" t="s">
        <v>409</v>
      </c>
      <c r="H184" s="17">
        <v>1</v>
      </c>
      <c r="I184" s="4" t="s">
        <v>409</v>
      </c>
      <c r="J184" s="4"/>
      <c r="K184" s="4" t="s">
        <v>553</v>
      </c>
      <c r="L184" s="4"/>
      <c r="M184" s="4"/>
      <c r="N184" s="24">
        <v>24.864301000000001</v>
      </c>
      <c r="O184" s="24">
        <v>59.441937000000003</v>
      </c>
      <c r="P184" s="4" t="s">
        <v>183</v>
      </c>
      <c r="Q184" s="4" t="s">
        <v>12</v>
      </c>
      <c r="R184" s="4"/>
      <c r="S184" s="4"/>
      <c r="T184" s="4" t="str">
        <f t="shared" si="4"/>
        <v>PMG - BB -  - Laagna tee,  Mustakivi silla juures  *, kesklinna  - 1</v>
      </c>
      <c r="U184" s="4" t="str">
        <f t="shared" si="5"/>
        <v xml:space="preserve">PMG - BB - Laagna tee,  Mustakivi silla juures  *, kesklinna </v>
      </c>
      <c r="V184" s="40">
        <v>44562</v>
      </c>
      <c r="W184" s="31"/>
    </row>
    <row r="185" spans="1:23" ht="15" x14ac:dyDescent="0.25">
      <c r="A185" s="4" t="s">
        <v>13</v>
      </c>
      <c r="B185" s="4" t="s">
        <v>12</v>
      </c>
      <c r="C185" s="4"/>
      <c r="D185" s="4"/>
      <c r="E185" s="1" t="s">
        <v>0</v>
      </c>
      <c r="F185" s="1" t="s">
        <v>9</v>
      </c>
      <c r="G185" s="4" t="s">
        <v>410</v>
      </c>
      <c r="H185" s="17">
        <v>1</v>
      </c>
      <c r="I185" s="4" t="s">
        <v>410</v>
      </c>
      <c r="J185" s="4"/>
      <c r="K185" s="4" t="s">
        <v>554</v>
      </c>
      <c r="L185" s="4"/>
      <c r="M185" s="4"/>
      <c r="N185" s="24">
        <v>24.872948999999998</v>
      </c>
      <c r="O185" s="24">
        <v>59.442998000000003</v>
      </c>
      <c r="P185" s="4" t="s">
        <v>184</v>
      </c>
      <c r="Q185" s="4" t="s">
        <v>12</v>
      </c>
      <c r="R185" s="4"/>
      <c r="S185" s="4"/>
      <c r="T185" s="4" t="str">
        <f t="shared" si="4"/>
        <v>PMG - BB -  - Laagna tee ja Mahtra tn.ristmik, Mustakivi keskuse juures, kesklinnast  - 1</v>
      </c>
      <c r="U185" s="4" t="str">
        <f t="shared" si="5"/>
        <v xml:space="preserve">PMG - BB - Laagna tee ja Mahtra tn.ristmik, Mustakivi keskuse juures, kesklinnast </v>
      </c>
      <c r="V185" s="40">
        <v>44562</v>
      </c>
      <c r="W185" s="31"/>
    </row>
    <row r="186" spans="1:23" ht="15" x14ac:dyDescent="0.25">
      <c r="A186" s="4" t="s">
        <v>13</v>
      </c>
      <c r="B186" s="4" t="s">
        <v>12</v>
      </c>
      <c r="C186" s="4"/>
      <c r="D186" s="4"/>
      <c r="E186" s="1" t="s">
        <v>0</v>
      </c>
      <c r="F186" s="1" t="s">
        <v>9</v>
      </c>
      <c r="G186" s="4" t="s">
        <v>411</v>
      </c>
      <c r="H186" s="17">
        <v>1</v>
      </c>
      <c r="I186" s="4" t="s">
        <v>411</v>
      </c>
      <c r="J186" s="4"/>
      <c r="K186" s="4" t="s">
        <v>554</v>
      </c>
      <c r="L186" s="4"/>
      <c r="M186" s="4"/>
      <c r="N186" s="24">
        <v>24.872948999999998</v>
      </c>
      <c r="O186" s="24">
        <v>59.442998000000003</v>
      </c>
      <c r="P186" s="4" t="s">
        <v>185</v>
      </c>
      <c r="Q186" s="4" t="s">
        <v>12</v>
      </c>
      <c r="R186" s="4"/>
      <c r="S186" s="4"/>
      <c r="T186" s="4" t="str">
        <f t="shared" si="4"/>
        <v>PMG - BB -  - Laagna tee ja Mahtra tn.ristmik, Mustakivi keskuse juures, kesklinna  - 1</v>
      </c>
      <c r="U186" s="4" t="str">
        <f t="shared" si="5"/>
        <v xml:space="preserve">PMG - BB - Laagna tee ja Mahtra tn.ristmik, Mustakivi keskuse juures, kesklinna </v>
      </c>
      <c r="V186" s="40">
        <v>44562</v>
      </c>
      <c r="W186" s="31"/>
    </row>
    <row r="187" spans="1:23" ht="15" x14ac:dyDescent="0.25">
      <c r="A187" s="4" t="s">
        <v>13</v>
      </c>
      <c r="B187" s="4" t="s">
        <v>12</v>
      </c>
      <c r="C187" s="4"/>
      <c r="D187" s="4"/>
      <c r="E187" s="1" t="s">
        <v>0</v>
      </c>
      <c r="F187" s="1" t="s">
        <v>9</v>
      </c>
      <c r="G187" s="4" t="s">
        <v>412</v>
      </c>
      <c r="H187" s="17">
        <v>1</v>
      </c>
      <c r="I187" s="4" t="s">
        <v>412</v>
      </c>
      <c r="J187" s="4"/>
      <c r="K187" s="4" t="s">
        <v>555</v>
      </c>
      <c r="L187" s="4"/>
      <c r="M187" s="4"/>
      <c r="N187" s="24">
        <v>24.888127999999998</v>
      </c>
      <c r="O187" s="24">
        <v>59.444740000000003</v>
      </c>
      <c r="P187" s="4" t="s">
        <v>186</v>
      </c>
      <c r="Q187" s="4" t="s">
        <v>12</v>
      </c>
      <c r="R187" s="4"/>
      <c r="S187" s="4"/>
      <c r="T187" s="4" t="str">
        <f t="shared" si="4"/>
        <v>PMG - BB -  - Laagna tee, Ümera Keskuse juures (eraldusribal), kesklinnast  - 1</v>
      </c>
      <c r="U187" s="4" t="str">
        <f t="shared" si="5"/>
        <v xml:space="preserve">PMG - BB - Laagna tee, Ümera Keskuse juures (eraldusribal), kesklinnast </v>
      </c>
      <c r="V187" s="40">
        <v>44562</v>
      </c>
      <c r="W187" s="31"/>
    </row>
    <row r="188" spans="1:23" ht="15" x14ac:dyDescent="0.25">
      <c r="A188" s="4" t="s">
        <v>13</v>
      </c>
      <c r="B188" s="4" t="s">
        <v>12</v>
      </c>
      <c r="C188" s="4"/>
      <c r="D188" s="4"/>
      <c r="E188" s="1" t="s">
        <v>0</v>
      </c>
      <c r="F188" s="1" t="s">
        <v>9</v>
      </c>
      <c r="G188" s="4" t="s">
        <v>413</v>
      </c>
      <c r="H188" s="17">
        <v>1</v>
      </c>
      <c r="I188" s="4" t="s">
        <v>413</v>
      </c>
      <c r="J188" s="4"/>
      <c r="K188" s="4" t="s">
        <v>555</v>
      </c>
      <c r="L188" s="4"/>
      <c r="M188" s="4"/>
      <c r="N188" s="24">
        <v>24.888127999999998</v>
      </c>
      <c r="O188" s="24">
        <v>59.444740000000003</v>
      </c>
      <c r="P188" s="4" t="s">
        <v>187</v>
      </c>
      <c r="Q188" s="4" t="s">
        <v>12</v>
      </c>
      <c r="R188" s="4"/>
      <c r="S188" s="4"/>
      <c r="T188" s="4" t="str">
        <f t="shared" si="4"/>
        <v>PMG - BB -  - Laagna tee, Ümera Keskuse juures (eraldusribal), kesklinna   - 1</v>
      </c>
      <c r="U188" s="4" t="str">
        <f t="shared" si="5"/>
        <v xml:space="preserve">PMG - BB - Laagna tee, Ümera Keskuse juures (eraldusribal), kesklinna  </v>
      </c>
      <c r="V188" s="40">
        <v>44562</v>
      </c>
      <c r="W188" s="31"/>
    </row>
    <row r="189" spans="1:23" ht="15" x14ac:dyDescent="0.25">
      <c r="A189" s="4" t="s">
        <v>13</v>
      </c>
      <c r="B189" s="4" t="s">
        <v>12</v>
      </c>
      <c r="C189" s="4"/>
      <c r="D189" s="4"/>
      <c r="E189" s="1" t="s">
        <v>0</v>
      </c>
      <c r="F189" s="1" t="s">
        <v>9</v>
      </c>
      <c r="G189" s="4" t="s">
        <v>414</v>
      </c>
      <c r="H189" s="17">
        <v>1</v>
      </c>
      <c r="I189" s="4" t="s">
        <v>414</v>
      </c>
      <c r="J189" s="4"/>
      <c r="K189" s="4" t="s">
        <v>556</v>
      </c>
      <c r="L189" s="4"/>
      <c r="M189" s="4"/>
      <c r="N189" s="24">
        <v>24.830946999999998</v>
      </c>
      <c r="O189" s="24">
        <v>59.433661999999998</v>
      </c>
      <c r="P189" s="4" t="s">
        <v>188</v>
      </c>
      <c r="Q189" s="4" t="s">
        <v>12</v>
      </c>
      <c r="R189" s="4"/>
      <c r="S189" s="4"/>
      <c r="T189" s="4" t="str">
        <f t="shared" si="4"/>
        <v>PMG - BB -  - Punase tn/ Smuuli nurgal (Peterburi mnt poole) - 1</v>
      </c>
      <c r="U189" s="4" t="str">
        <f t="shared" si="5"/>
        <v>PMG - BB - Punase tn/ Smuuli nurgal (Peterburi mnt poole)</v>
      </c>
      <c r="V189" s="40">
        <v>44562</v>
      </c>
      <c r="W189" s="31"/>
    </row>
    <row r="190" spans="1:23" ht="15" x14ac:dyDescent="0.25">
      <c r="A190" s="4" t="s">
        <v>13</v>
      </c>
      <c r="B190" s="4" t="s">
        <v>12</v>
      </c>
      <c r="C190" s="4"/>
      <c r="D190" s="4"/>
      <c r="E190" s="1" t="s">
        <v>0</v>
      </c>
      <c r="F190" s="1" t="s">
        <v>9</v>
      </c>
      <c r="G190" s="4" t="s">
        <v>415</v>
      </c>
      <c r="H190" s="17">
        <v>1</v>
      </c>
      <c r="I190" s="4" t="s">
        <v>415</v>
      </c>
      <c r="J190" s="4"/>
      <c r="K190" s="4" t="s">
        <v>556</v>
      </c>
      <c r="L190" s="4"/>
      <c r="M190" s="4"/>
      <c r="N190" s="24">
        <v>24.830946999999998</v>
      </c>
      <c r="O190" s="24">
        <v>59.433661999999998</v>
      </c>
      <c r="P190" s="4" t="s">
        <v>189</v>
      </c>
      <c r="Q190" s="4" t="s">
        <v>12</v>
      </c>
      <c r="R190" s="4"/>
      <c r="S190" s="4"/>
      <c r="T190" s="4" t="str">
        <f t="shared" si="4"/>
        <v>PMG - BB -  - Punase tn/ Smuuli nurgal (Peterburi mnt poolt) - 1</v>
      </c>
      <c r="U190" s="4" t="str">
        <f t="shared" si="5"/>
        <v>PMG - BB - Punase tn/ Smuuli nurgal (Peterburi mnt poolt)</v>
      </c>
      <c r="V190" s="40">
        <v>44562</v>
      </c>
      <c r="W190" s="31"/>
    </row>
    <row r="191" spans="1:23" ht="15" x14ac:dyDescent="0.25">
      <c r="A191" s="4" t="s">
        <v>13</v>
      </c>
      <c r="B191" s="4" t="s">
        <v>12</v>
      </c>
      <c r="C191" s="4"/>
      <c r="D191" s="4"/>
      <c r="E191" s="1" t="s">
        <v>0</v>
      </c>
      <c r="F191" s="1" t="s">
        <v>9</v>
      </c>
      <c r="G191" s="4" t="s">
        <v>416</v>
      </c>
      <c r="H191" s="17">
        <v>1</v>
      </c>
      <c r="I191" s="4" t="s">
        <v>416</v>
      </c>
      <c r="J191" s="4"/>
      <c r="K191" s="4" t="s">
        <v>557</v>
      </c>
      <c r="L191" s="4"/>
      <c r="M191" s="4"/>
      <c r="N191" s="24">
        <v>24.831786999999998</v>
      </c>
      <c r="O191" s="24">
        <v>59.433903000000001</v>
      </c>
      <c r="P191" s="4" t="s">
        <v>190</v>
      </c>
      <c r="Q191" s="4" t="s">
        <v>12</v>
      </c>
      <c r="R191" s="4"/>
      <c r="S191" s="4"/>
      <c r="T191" s="4" t="str">
        <f t="shared" si="4"/>
        <v>PMG - BB -  - Punane tn. ja Smuuli tee ristmik /Tallinna Küte ees, kesklinnast  - 1</v>
      </c>
      <c r="U191" s="4" t="str">
        <f t="shared" si="5"/>
        <v xml:space="preserve">PMG - BB - Punane tn. ja Smuuli tee ristmik /Tallinna Küte ees, kesklinnast </v>
      </c>
      <c r="V191" s="40">
        <v>44562</v>
      </c>
      <c r="W191" s="31"/>
    </row>
    <row r="192" spans="1:23" ht="15" x14ac:dyDescent="0.25">
      <c r="A192" s="4" t="s">
        <v>13</v>
      </c>
      <c r="B192" s="4" t="s">
        <v>12</v>
      </c>
      <c r="C192" s="4"/>
      <c r="D192" s="4"/>
      <c r="E192" s="1" t="s">
        <v>0</v>
      </c>
      <c r="F192" s="1" t="s">
        <v>9</v>
      </c>
      <c r="G192" s="4" t="s">
        <v>417</v>
      </c>
      <c r="H192" s="17">
        <v>1</v>
      </c>
      <c r="I192" s="4" t="s">
        <v>417</v>
      </c>
      <c r="J192" s="4"/>
      <c r="K192" s="4" t="s">
        <v>557</v>
      </c>
      <c r="L192" s="4"/>
      <c r="M192" s="4"/>
      <c r="N192" s="24">
        <v>24.831786999999998</v>
      </c>
      <c r="O192" s="24">
        <v>59.433903000000001</v>
      </c>
      <c r="P192" s="4" t="s">
        <v>191</v>
      </c>
      <c r="Q192" s="4" t="s">
        <v>12</v>
      </c>
      <c r="R192" s="4"/>
      <c r="S192" s="4"/>
      <c r="T192" s="4" t="str">
        <f t="shared" si="4"/>
        <v>PMG - BB -  - Punane tn. ja Smuuli tee, Tallinna Küte ees, ristmik, kesklinna   - 1</v>
      </c>
      <c r="U192" s="4" t="str">
        <f t="shared" si="5"/>
        <v xml:space="preserve">PMG - BB - Punane tn. ja Smuuli tee, Tallinna Küte ees, ristmik, kesklinna  </v>
      </c>
      <c r="V192" s="40">
        <v>44562</v>
      </c>
      <c r="W192" s="31"/>
    </row>
    <row r="193" spans="1:23" ht="15" x14ac:dyDescent="0.25">
      <c r="A193" s="4" t="s">
        <v>13</v>
      </c>
      <c r="B193" s="4" t="s">
        <v>12</v>
      </c>
      <c r="C193" s="4"/>
      <c r="D193" s="4"/>
      <c r="E193" s="1" t="s">
        <v>0</v>
      </c>
      <c r="F193" s="1" t="s">
        <v>9</v>
      </c>
      <c r="G193" s="4" t="s">
        <v>418</v>
      </c>
      <c r="H193" s="17">
        <v>1</v>
      </c>
      <c r="I193" s="4" t="s">
        <v>418</v>
      </c>
      <c r="J193" s="4"/>
      <c r="K193" s="4" t="s">
        <v>558</v>
      </c>
      <c r="L193" s="4"/>
      <c r="M193" s="4"/>
      <c r="N193" s="24">
        <v>24.828339</v>
      </c>
      <c r="O193" s="24">
        <v>59.436390000000003</v>
      </c>
      <c r="P193" s="4" t="s">
        <v>192</v>
      </c>
      <c r="Q193" s="4" t="s">
        <v>12</v>
      </c>
      <c r="R193" s="4"/>
      <c r="S193" s="4"/>
      <c r="T193" s="4" t="str">
        <f t="shared" si="4"/>
        <v>PMG - BB -  - Smuuli tee ja Paekaare tn ristmik, Peterburi tee poole  - 1</v>
      </c>
      <c r="U193" s="4" t="str">
        <f t="shared" si="5"/>
        <v xml:space="preserve">PMG - BB - Smuuli tee ja Paekaare tn ristmik, Peterburi tee poole </v>
      </c>
      <c r="V193" s="40">
        <v>44562</v>
      </c>
      <c r="W193" s="31"/>
    </row>
    <row r="194" spans="1:23" ht="15" x14ac:dyDescent="0.25">
      <c r="A194" s="4" t="s">
        <v>13</v>
      </c>
      <c r="B194" s="4" t="s">
        <v>12</v>
      </c>
      <c r="C194" s="4"/>
      <c r="D194" s="4"/>
      <c r="E194" s="1" t="s">
        <v>0</v>
      </c>
      <c r="F194" s="1" t="s">
        <v>9</v>
      </c>
      <c r="G194" s="4" t="s">
        <v>419</v>
      </c>
      <c r="H194" s="17">
        <v>1</v>
      </c>
      <c r="I194" s="4" t="s">
        <v>419</v>
      </c>
      <c r="J194" s="4"/>
      <c r="K194" s="4" t="s">
        <v>558</v>
      </c>
      <c r="L194" s="4"/>
      <c r="M194" s="4"/>
      <c r="N194" s="24">
        <v>24.828339</v>
      </c>
      <c r="O194" s="24">
        <v>59.436390000000003</v>
      </c>
      <c r="P194" s="4" t="s">
        <v>193</v>
      </c>
      <c r="Q194" s="4" t="s">
        <v>12</v>
      </c>
      <c r="R194" s="4"/>
      <c r="S194" s="4"/>
      <c r="T194" s="4" t="str">
        <f t="shared" si="4"/>
        <v>PMG - BB -  - Smuuli tee ja Paekaare tn ristmik, Peterburi teelt  - 1</v>
      </c>
      <c r="U194" s="4" t="str">
        <f t="shared" si="5"/>
        <v xml:space="preserve">PMG - BB - Smuuli tee ja Paekaare tn ristmik, Peterburi teelt </v>
      </c>
      <c r="V194" s="40">
        <v>44562</v>
      </c>
      <c r="W194" s="31"/>
    </row>
    <row r="195" spans="1:23" ht="15" x14ac:dyDescent="0.25">
      <c r="A195" s="4" t="s">
        <v>13</v>
      </c>
      <c r="B195" s="4" t="s">
        <v>12</v>
      </c>
      <c r="C195" s="4"/>
      <c r="D195" s="4"/>
      <c r="E195" s="1" t="s">
        <v>0</v>
      </c>
      <c r="F195" s="1" t="s">
        <v>9</v>
      </c>
      <c r="G195" s="4" t="s">
        <v>420</v>
      </c>
      <c r="H195" s="17">
        <v>1</v>
      </c>
      <c r="I195" s="4" t="s">
        <v>420</v>
      </c>
      <c r="J195" s="4"/>
      <c r="K195" s="4" t="s">
        <v>10</v>
      </c>
      <c r="L195" s="4"/>
      <c r="M195" s="4"/>
      <c r="N195" s="24">
        <v>24.826915</v>
      </c>
      <c r="O195" s="24">
        <v>59.438490999999999</v>
      </c>
      <c r="P195" s="4" t="s">
        <v>194</v>
      </c>
      <c r="Q195" s="4" t="s">
        <v>12</v>
      </c>
      <c r="R195" s="4"/>
      <c r="S195" s="4"/>
      <c r="T195" s="4" t="str">
        <f t="shared" ref="T195:T258" si="6">CONCATENATE(A195," - ",B195," - ",C195," - ",G195," - ",H195)</f>
        <v>PMG - BB -  - Smuuli teel, Laagna tee pöördel, Peterburi teelt  - 1</v>
      </c>
      <c r="U195" s="4" t="str">
        <f t="shared" ref="U195:U258" si="7">CONCATENATE(A195," - ",B195," - ",G195,)</f>
        <v xml:space="preserve">PMG - BB - Smuuli teel, Laagna tee pöördel, Peterburi teelt </v>
      </c>
      <c r="V195" s="40">
        <v>44562</v>
      </c>
      <c r="W195" s="31"/>
    </row>
    <row r="196" spans="1:23" ht="15" x14ac:dyDescent="0.25">
      <c r="A196" s="4" t="s">
        <v>13</v>
      </c>
      <c r="B196" s="4" t="s">
        <v>12</v>
      </c>
      <c r="C196" s="4"/>
      <c r="D196" s="4"/>
      <c r="E196" s="1" t="s">
        <v>0</v>
      </c>
      <c r="F196" s="1" t="s">
        <v>9</v>
      </c>
      <c r="G196" s="4" t="s">
        <v>421</v>
      </c>
      <c r="H196" s="17">
        <v>1</v>
      </c>
      <c r="I196" s="4" t="s">
        <v>421</v>
      </c>
      <c r="J196" s="4"/>
      <c r="K196" s="4" t="s">
        <v>10</v>
      </c>
      <c r="L196" s="4"/>
      <c r="M196" s="4"/>
      <c r="N196" s="24">
        <v>24.826915</v>
      </c>
      <c r="O196" s="24">
        <v>59.438490999999999</v>
      </c>
      <c r="P196" s="4" t="s">
        <v>195</v>
      </c>
      <c r="Q196" s="4" t="s">
        <v>12</v>
      </c>
      <c r="R196" s="4"/>
      <c r="S196" s="4"/>
      <c r="T196" s="4" t="str">
        <f t="shared" si="6"/>
        <v>PMG - BB -  - Smuuli teel, Laagna tee pöördel, Peterburi tee suunas  - 1</v>
      </c>
      <c r="U196" s="4" t="str">
        <f t="shared" si="7"/>
        <v xml:space="preserve">PMG - BB - Smuuli teel, Laagna tee pöördel, Peterburi tee suunas </v>
      </c>
      <c r="V196" s="40">
        <v>44562</v>
      </c>
      <c r="W196" s="31"/>
    </row>
    <row r="197" spans="1:23" ht="15" x14ac:dyDescent="0.25">
      <c r="A197" s="4" t="s">
        <v>13</v>
      </c>
      <c r="B197" s="4" t="s">
        <v>12</v>
      </c>
      <c r="C197" s="4"/>
      <c r="D197" s="4"/>
      <c r="E197" s="1" t="s">
        <v>0</v>
      </c>
      <c r="F197" s="1" t="s">
        <v>9</v>
      </c>
      <c r="G197" s="4" t="s">
        <v>422</v>
      </c>
      <c r="H197" s="17">
        <v>1</v>
      </c>
      <c r="I197" s="4" t="s">
        <v>422</v>
      </c>
      <c r="J197" s="4"/>
      <c r="K197" s="4" t="s">
        <v>559</v>
      </c>
      <c r="L197" s="4"/>
      <c r="M197" s="4"/>
      <c r="N197" s="24">
        <v>24.823639</v>
      </c>
      <c r="O197" s="24">
        <v>59.441319999999997</v>
      </c>
      <c r="P197" s="4" t="s">
        <v>196</v>
      </c>
      <c r="Q197" s="4" t="s">
        <v>12</v>
      </c>
      <c r="R197" s="4"/>
      <c r="S197" s="4"/>
      <c r="T197" s="4" t="str">
        <f t="shared" si="6"/>
        <v>PMG - BB -  - Smuuli tee 9 "Maxima XXL" vastas, eraldusribal, suund Piritale - 1</v>
      </c>
      <c r="U197" s="4" t="str">
        <f t="shared" si="7"/>
        <v>PMG - BB - Smuuli tee 9 "Maxima XXL" vastas, eraldusribal, suund Piritale</v>
      </c>
      <c r="V197" s="40">
        <v>44562</v>
      </c>
      <c r="W197" s="31"/>
    </row>
    <row r="198" spans="1:23" ht="15" x14ac:dyDescent="0.25">
      <c r="A198" s="4" t="s">
        <v>13</v>
      </c>
      <c r="B198" s="4" t="s">
        <v>12</v>
      </c>
      <c r="C198" s="4"/>
      <c r="D198" s="4"/>
      <c r="E198" s="1" t="s">
        <v>0</v>
      </c>
      <c r="F198" s="1" t="s">
        <v>9</v>
      </c>
      <c r="G198" s="4" t="s">
        <v>423</v>
      </c>
      <c r="H198" s="17">
        <v>1</v>
      </c>
      <c r="I198" s="4" t="s">
        <v>423</v>
      </c>
      <c r="J198" s="4"/>
      <c r="K198" s="4" t="s">
        <v>559</v>
      </c>
      <c r="L198" s="4"/>
      <c r="M198" s="4"/>
      <c r="N198" s="24">
        <v>24.823639</v>
      </c>
      <c r="O198" s="24">
        <v>59.441319999999997</v>
      </c>
      <c r="P198" s="4" t="s">
        <v>197</v>
      </c>
      <c r="Q198" s="4" t="s">
        <v>12</v>
      </c>
      <c r="R198" s="4"/>
      <c r="S198" s="4"/>
      <c r="T198" s="4" t="str">
        <f t="shared" si="6"/>
        <v>PMG - BB -  - Smuuli tee 9 "Maxima XXL" vastas, eraldusribal, suund Peterburi teele - 1</v>
      </c>
      <c r="U198" s="4" t="str">
        <f t="shared" si="7"/>
        <v>PMG - BB - Smuuli tee 9 "Maxima XXL" vastas, eraldusribal, suund Peterburi teele</v>
      </c>
      <c r="V198" s="40">
        <v>44562</v>
      </c>
      <c r="W198" s="31"/>
    </row>
    <row r="199" spans="1:23" ht="15" x14ac:dyDescent="0.25">
      <c r="A199" s="4" t="s">
        <v>13</v>
      </c>
      <c r="B199" s="4" t="s">
        <v>12</v>
      </c>
      <c r="C199" s="4"/>
      <c r="D199" s="4"/>
      <c r="E199" s="1" t="s">
        <v>0</v>
      </c>
      <c r="F199" s="1" t="s">
        <v>9</v>
      </c>
      <c r="G199" s="4" t="s">
        <v>424</v>
      </c>
      <c r="H199" s="17">
        <v>1</v>
      </c>
      <c r="I199" s="4" t="s">
        <v>424</v>
      </c>
      <c r="J199" s="4"/>
      <c r="K199" s="4" t="s">
        <v>560</v>
      </c>
      <c r="L199" s="4"/>
      <c r="M199" s="4"/>
      <c r="N199" s="24">
        <v>24.867926000000001</v>
      </c>
      <c r="O199" s="24">
        <v>59.440598000000001</v>
      </c>
      <c r="P199" s="4" t="s">
        <v>198</v>
      </c>
      <c r="Q199" s="4" t="s">
        <v>12</v>
      </c>
      <c r="R199" s="4"/>
      <c r="S199" s="4"/>
      <c r="T199" s="4" t="str">
        <f t="shared" si="6"/>
        <v>PMG - BB -  - Mustakivi tee ja Punase tn ristmik, LCentrum (eraldusribal)*, Peterburi teel tulles   - 1</v>
      </c>
      <c r="U199" s="4" t="str">
        <f t="shared" si="7"/>
        <v xml:space="preserve">PMG - BB - Mustakivi tee ja Punase tn ristmik, LCentrum (eraldusribal)*, Peterburi teel tulles  </v>
      </c>
      <c r="V199" s="40">
        <v>44562</v>
      </c>
      <c r="W199" s="31"/>
    </row>
    <row r="200" spans="1:23" ht="15" x14ac:dyDescent="0.25">
      <c r="A200" s="4" t="s">
        <v>13</v>
      </c>
      <c r="B200" s="4" t="s">
        <v>12</v>
      </c>
      <c r="C200" s="4"/>
      <c r="D200" s="4"/>
      <c r="E200" s="1" t="s">
        <v>0</v>
      </c>
      <c r="F200" s="1" t="s">
        <v>9</v>
      </c>
      <c r="G200" s="4" t="s">
        <v>425</v>
      </c>
      <c r="H200" s="17">
        <v>1</v>
      </c>
      <c r="I200" s="4" t="s">
        <v>425</v>
      </c>
      <c r="J200" s="4"/>
      <c r="K200" s="4" t="s">
        <v>560</v>
      </c>
      <c r="L200" s="4"/>
      <c r="M200" s="4"/>
      <c r="N200" s="24">
        <v>24.867926000000001</v>
      </c>
      <c r="O200" s="24">
        <v>59.440598000000001</v>
      </c>
      <c r="P200" s="4" t="s">
        <v>199</v>
      </c>
      <c r="Q200" s="4" t="s">
        <v>12</v>
      </c>
      <c r="R200" s="4"/>
      <c r="S200" s="4"/>
      <c r="T200" s="4" t="str">
        <f t="shared" si="6"/>
        <v>PMG - BB -  - Mustakivi tee ja Punase tn ristmik, LCentrum (eraldusribal)*, Peterburi teel poole   - 1</v>
      </c>
      <c r="U200" s="4" t="str">
        <f t="shared" si="7"/>
        <v xml:space="preserve">PMG - BB - Mustakivi tee ja Punase tn ristmik, LCentrum (eraldusribal)*, Peterburi teel poole  </v>
      </c>
      <c r="V200" s="40">
        <v>44562</v>
      </c>
      <c r="W200" s="31"/>
    </row>
    <row r="201" spans="1:23" ht="15" x14ac:dyDescent="0.25">
      <c r="A201" s="4" t="s">
        <v>13</v>
      </c>
      <c r="B201" s="4" t="s">
        <v>12</v>
      </c>
      <c r="C201" s="4"/>
      <c r="D201" s="4"/>
      <c r="E201" s="1" t="s">
        <v>0</v>
      </c>
      <c r="F201" s="1" t="s">
        <v>9</v>
      </c>
      <c r="G201" s="4" t="s">
        <v>426</v>
      </c>
      <c r="H201" s="17">
        <v>1</v>
      </c>
      <c r="I201" s="4" t="s">
        <v>426</v>
      </c>
      <c r="J201" s="4"/>
      <c r="K201" s="4" t="s">
        <v>561</v>
      </c>
      <c r="L201" s="4"/>
      <c r="M201" s="4"/>
      <c r="N201" s="24">
        <v>24.866966999999999</v>
      </c>
      <c r="O201" s="24">
        <v>59.441389999999998</v>
      </c>
      <c r="P201" s="4" t="s">
        <v>200</v>
      </c>
      <c r="Q201" s="4" t="s">
        <v>12</v>
      </c>
      <c r="R201" s="4"/>
      <c r="S201" s="4"/>
      <c r="T201" s="4" t="str">
        <f t="shared" si="6"/>
        <v>PMG - BB -  - Mustakivi tee 13/ Lasnamäe "Centrum" ees, Peterburi tee poole. - 1</v>
      </c>
      <c r="U201" s="4" t="str">
        <f t="shared" si="7"/>
        <v>PMG - BB - Mustakivi tee 13/ Lasnamäe "Centrum" ees, Peterburi tee poole.</v>
      </c>
      <c r="V201" s="40">
        <v>44562</v>
      </c>
      <c r="W201" s="31"/>
    </row>
    <row r="202" spans="1:23" ht="15" x14ac:dyDescent="0.25">
      <c r="A202" s="4" t="s">
        <v>13</v>
      </c>
      <c r="B202" s="4" t="s">
        <v>12</v>
      </c>
      <c r="C202" s="4"/>
      <c r="D202" s="4"/>
      <c r="E202" s="1" t="s">
        <v>0</v>
      </c>
      <c r="F202" s="1" t="s">
        <v>9</v>
      </c>
      <c r="G202" s="4" t="s">
        <v>427</v>
      </c>
      <c r="H202" s="17">
        <v>1</v>
      </c>
      <c r="I202" s="4" t="s">
        <v>427</v>
      </c>
      <c r="J202" s="4"/>
      <c r="K202" s="4" t="s">
        <v>561</v>
      </c>
      <c r="L202" s="4"/>
      <c r="M202" s="4"/>
      <c r="N202" s="24">
        <v>24.866966999999999</v>
      </c>
      <c r="O202" s="24">
        <v>59.441389999999998</v>
      </c>
      <c r="P202" s="4" t="s">
        <v>201</v>
      </c>
      <c r="Q202" s="4" t="s">
        <v>12</v>
      </c>
      <c r="R202" s="4"/>
      <c r="S202" s="4"/>
      <c r="T202" s="4" t="str">
        <f t="shared" si="6"/>
        <v>PMG - BB -  - Mustakivi tee 13/ Lasnamäe"Centrum" ees, Peterburi teelt tulles. - 1</v>
      </c>
      <c r="U202" s="4" t="str">
        <f t="shared" si="7"/>
        <v>PMG - BB - Mustakivi tee 13/ Lasnamäe"Centrum" ees, Peterburi teelt tulles.</v>
      </c>
      <c r="V202" s="40">
        <v>44562</v>
      </c>
      <c r="W202" s="31"/>
    </row>
    <row r="203" spans="1:23" ht="15" x14ac:dyDescent="0.25">
      <c r="A203" s="4" t="s">
        <v>13</v>
      </c>
      <c r="B203" s="4" t="s">
        <v>12</v>
      </c>
      <c r="C203" s="4"/>
      <c r="D203" s="4"/>
      <c r="E203" s="1" t="s">
        <v>0</v>
      </c>
      <c r="F203" s="1" t="s">
        <v>9</v>
      </c>
      <c r="G203" s="4" t="s">
        <v>428</v>
      </c>
      <c r="H203" s="17">
        <v>1</v>
      </c>
      <c r="I203" s="4" t="s">
        <v>428</v>
      </c>
      <c r="J203" s="4"/>
      <c r="K203" s="4" t="s">
        <v>562</v>
      </c>
      <c r="L203" s="4"/>
      <c r="M203" s="4"/>
      <c r="N203" s="24">
        <v>24.865231999999999</v>
      </c>
      <c r="O203" s="24">
        <v>59.443646999999999</v>
      </c>
      <c r="P203" s="4" t="s">
        <v>202</v>
      </c>
      <c r="Q203" s="4" t="s">
        <v>12</v>
      </c>
      <c r="R203" s="4"/>
      <c r="S203" s="4"/>
      <c r="T203" s="4" t="str">
        <f t="shared" si="6"/>
        <v>PMG - BB -  - Mustakivi tee ja Tähesaju tee ristmik  *, Peterburi teele - 1</v>
      </c>
      <c r="U203" s="4" t="str">
        <f t="shared" si="7"/>
        <v>PMG - BB - Mustakivi tee ja Tähesaju tee ristmik  *, Peterburi teele</v>
      </c>
      <c r="V203" s="40">
        <v>44562</v>
      </c>
      <c r="W203" s="31"/>
    </row>
    <row r="204" spans="1:23" ht="15" x14ac:dyDescent="0.25">
      <c r="A204" s="4" t="s">
        <v>13</v>
      </c>
      <c r="B204" s="4" t="s">
        <v>12</v>
      </c>
      <c r="C204" s="4"/>
      <c r="D204" s="4"/>
      <c r="E204" s="1" t="s">
        <v>0</v>
      </c>
      <c r="F204" s="1" t="s">
        <v>9</v>
      </c>
      <c r="G204" s="4" t="s">
        <v>429</v>
      </c>
      <c r="H204" s="17">
        <v>1</v>
      </c>
      <c r="I204" s="4" t="s">
        <v>429</v>
      </c>
      <c r="J204" s="4"/>
      <c r="K204" s="4" t="s">
        <v>562</v>
      </c>
      <c r="L204" s="4"/>
      <c r="M204" s="4"/>
      <c r="N204" s="24">
        <v>24.865231999999999</v>
      </c>
      <c r="O204" s="24">
        <v>59.443646999999999</v>
      </c>
      <c r="P204" s="4" t="s">
        <v>203</v>
      </c>
      <c r="Q204" s="4" t="s">
        <v>12</v>
      </c>
      <c r="R204" s="4"/>
      <c r="S204" s="4"/>
      <c r="T204" s="4" t="str">
        <f t="shared" si="6"/>
        <v>PMG - BB -  - Mustakivi tee ja Tähesaju tee ristmik  *, Peterburi teelt - 1</v>
      </c>
      <c r="U204" s="4" t="str">
        <f t="shared" si="7"/>
        <v>PMG - BB - Mustakivi tee ja Tähesaju tee ristmik  *, Peterburi teelt</v>
      </c>
      <c r="V204" s="40">
        <v>44562</v>
      </c>
      <c r="W204" s="31"/>
    </row>
    <row r="205" spans="1:23" ht="15" x14ac:dyDescent="0.25">
      <c r="A205" s="4" t="s">
        <v>13</v>
      </c>
      <c r="B205" s="4" t="s">
        <v>12</v>
      </c>
      <c r="C205" s="4"/>
      <c r="D205" s="4"/>
      <c r="E205" s="1" t="s">
        <v>0</v>
      </c>
      <c r="F205" s="1" t="s">
        <v>8</v>
      </c>
      <c r="G205" s="4" t="s">
        <v>430</v>
      </c>
      <c r="H205" s="17">
        <v>1</v>
      </c>
      <c r="I205" s="4" t="s">
        <v>430</v>
      </c>
      <c r="J205" s="4"/>
      <c r="K205" s="4" t="s">
        <v>563</v>
      </c>
      <c r="L205" s="4"/>
      <c r="M205" s="4"/>
      <c r="N205" s="24">
        <v>24.838766</v>
      </c>
      <c r="O205" s="24">
        <v>59.487893999999997</v>
      </c>
      <c r="P205" s="4" t="s">
        <v>204</v>
      </c>
      <c r="Q205" s="4" t="s">
        <v>12</v>
      </c>
      <c r="R205" s="4"/>
      <c r="S205" s="4"/>
      <c r="T205" s="4" t="str">
        <f t="shared" si="6"/>
        <v>PMG - BB -  - Merivälja tee 71, kesklinna  - 1</v>
      </c>
      <c r="U205" s="4" t="str">
        <f t="shared" si="7"/>
        <v xml:space="preserve">PMG - BB - Merivälja tee 71, kesklinna </v>
      </c>
      <c r="V205" s="40">
        <v>44562</v>
      </c>
      <c r="W205" s="31"/>
    </row>
    <row r="206" spans="1:23" ht="15" x14ac:dyDescent="0.25">
      <c r="A206" s="4" t="s">
        <v>13</v>
      </c>
      <c r="B206" s="4" t="s">
        <v>12</v>
      </c>
      <c r="C206" s="4"/>
      <c r="D206" s="4"/>
      <c r="E206" s="1" t="s">
        <v>0</v>
      </c>
      <c r="F206" s="1" t="s">
        <v>8</v>
      </c>
      <c r="G206" s="4" t="s">
        <v>431</v>
      </c>
      <c r="H206" s="17">
        <v>1</v>
      </c>
      <c r="I206" s="4" t="s">
        <v>431</v>
      </c>
      <c r="J206" s="4"/>
      <c r="K206" s="4" t="s">
        <v>563</v>
      </c>
      <c r="L206" s="4"/>
      <c r="M206" s="4"/>
      <c r="N206" s="24">
        <v>24.838766</v>
      </c>
      <c r="O206" s="24">
        <v>59.487893999999997</v>
      </c>
      <c r="P206" s="4" t="s">
        <v>205</v>
      </c>
      <c r="Q206" s="4" t="s">
        <v>12</v>
      </c>
      <c r="R206" s="4"/>
      <c r="S206" s="4"/>
      <c r="T206" s="4" t="str">
        <f t="shared" si="6"/>
        <v>PMG - BB -  - Merivälja tee 71, kesklinnast  - 1</v>
      </c>
      <c r="U206" s="4" t="str">
        <f t="shared" si="7"/>
        <v xml:space="preserve">PMG - BB - Merivälja tee 71, kesklinnast </v>
      </c>
      <c r="V206" s="40">
        <v>44562</v>
      </c>
      <c r="W206" s="31"/>
    </row>
    <row r="207" spans="1:23" ht="15" x14ac:dyDescent="0.25">
      <c r="A207" s="4" t="s">
        <v>13</v>
      </c>
      <c r="B207" s="4" t="s">
        <v>12</v>
      </c>
      <c r="C207" s="4"/>
      <c r="D207" s="4"/>
      <c r="E207" s="1" t="s">
        <v>0</v>
      </c>
      <c r="F207" s="1" t="s">
        <v>8</v>
      </c>
      <c r="G207" s="4" t="s">
        <v>432</v>
      </c>
      <c r="H207" s="17">
        <v>1</v>
      </c>
      <c r="I207" s="4" t="s">
        <v>432</v>
      </c>
      <c r="J207" s="4"/>
      <c r="K207" s="4" t="s">
        <v>7</v>
      </c>
      <c r="L207" s="4"/>
      <c r="M207" s="4"/>
      <c r="N207" s="24">
        <v>24.826163000000001</v>
      </c>
      <c r="O207" s="24">
        <v>59.462950999999997</v>
      </c>
      <c r="P207" s="4" t="s">
        <v>206</v>
      </c>
      <c r="Q207" s="4" t="s">
        <v>12</v>
      </c>
      <c r="R207" s="4"/>
      <c r="S207" s="4"/>
      <c r="T207" s="4" t="str">
        <f t="shared" si="6"/>
        <v>PMG - BB -  - Pirita teel eraldusribal Pirita Selveri ees suund kesklinna - 1</v>
      </c>
      <c r="U207" s="4" t="str">
        <f t="shared" si="7"/>
        <v>PMG - BB - Pirita teel eraldusribal Pirita Selveri ees suund kesklinna</v>
      </c>
      <c r="V207" s="40">
        <v>44562</v>
      </c>
      <c r="W207" s="31"/>
    </row>
    <row r="208" spans="1:23" ht="15" x14ac:dyDescent="0.25">
      <c r="A208" s="4" t="s">
        <v>13</v>
      </c>
      <c r="B208" s="4" t="s">
        <v>12</v>
      </c>
      <c r="C208" s="4"/>
      <c r="D208" s="4"/>
      <c r="E208" s="1" t="s">
        <v>0</v>
      </c>
      <c r="F208" s="1" t="s">
        <v>8</v>
      </c>
      <c r="G208" s="4" t="s">
        <v>433</v>
      </c>
      <c r="H208" s="17">
        <v>1</v>
      </c>
      <c r="I208" s="4" t="s">
        <v>433</v>
      </c>
      <c r="J208" s="4"/>
      <c r="K208" s="4" t="s">
        <v>7</v>
      </c>
      <c r="L208" s="4"/>
      <c r="M208" s="4"/>
      <c r="N208" s="24">
        <v>24.826163000000001</v>
      </c>
      <c r="O208" s="24">
        <v>59.462950999999997</v>
      </c>
      <c r="P208" s="4" t="s">
        <v>207</v>
      </c>
      <c r="Q208" s="4" t="s">
        <v>12</v>
      </c>
      <c r="R208" s="4"/>
      <c r="S208" s="4"/>
      <c r="T208" s="4" t="str">
        <f t="shared" si="6"/>
        <v>PMG - BB -  - Pirita teel eraldusribal Pirita Selveri ees suund kesklinnast - 1</v>
      </c>
      <c r="U208" s="4" t="str">
        <f t="shared" si="7"/>
        <v>PMG - BB - Pirita teel eraldusribal Pirita Selveri ees suund kesklinnast</v>
      </c>
      <c r="V208" s="40">
        <v>44562</v>
      </c>
      <c r="W208" s="31"/>
    </row>
    <row r="209" spans="1:23" ht="15" x14ac:dyDescent="0.25">
      <c r="A209" s="4" t="s">
        <v>13</v>
      </c>
      <c r="B209" s="4" t="s">
        <v>12</v>
      </c>
      <c r="C209" s="4"/>
      <c r="D209" s="4"/>
      <c r="E209" s="1" t="s">
        <v>0</v>
      </c>
      <c r="F209" s="1" t="s">
        <v>8</v>
      </c>
      <c r="G209" s="4" t="s">
        <v>434</v>
      </c>
      <c r="H209" s="17">
        <v>1</v>
      </c>
      <c r="I209" s="4" t="s">
        <v>434</v>
      </c>
      <c r="J209" s="4"/>
      <c r="K209" s="4" t="s">
        <v>564</v>
      </c>
      <c r="L209" s="4"/>
      <c r="M209" s="4"/>
      <c r="N209" s="24">
        <v>24.821259999999999</v>
      </c>
      <c r="O209" s="24">
        <v>59.46172</v>
      </c>
      <c r="P209" s="4" t="s">
        <v>208</v>
      </c>
      <c r="Q209" s="4" t="s">
        <v>12</v>
      </c>
      <c r="R209" s="4"/>
      <c r="S209" s="4"/>
      <c r="T209" s="4" t="str">
        <f t="shared" si="6"/>
        <v>PMG - BB -  - Pirita tee, suund kesklinna, mere pool - 1</v>
      </c>
      <c r="U209" s="4" t="str">
        <f t="shared" si="7"/>
        <v>PMG - BB - Pirita tee, suund kesklinna, mere pool</v>
      </c>
      <c r="V209" s="40">
        <v>44562</v>
      </c>
      <c r="W209" s="31"/>
    </row>
    <row r="210" spans="1:23" ht="15" x14ac:dyDescent="0.25">
      <c r="A210" s="4" t="s">
        <v>13</v>
      </c>
      <c r="B210" s="4" t="s">
        <v>12</v>
      </c>
      <c r="C210" s="4"/>
      <c r="D210" s="4"/>
      <c r="E210" s="1" t="s">
        <v>0</v>
      </c>
      <c r="F210" s="1" t="s">
        <v>8</v>
      </c>
      <c r="G210" s="4" t="s">
        <v>435</v>
      </c>
      <c r="H210" s="17">
        <v>1</v>
      </c>
      <c r="I210" s="4" t="s">
        <v>435</v>
      </c>
      <c r="J210" s="4"/>
      <c r="K210" s="4" t="s">
        <v>564</v>
      </c>
      <c r="L210" s="4"/>
      <c r="M210" s="4"/>
      <c r="N210" s="24">
        <v>24.821259999999999</v>
      </c>
      <c r="O210" s="24">
        <v>59.46172</v>
      </c>
      <c r="P210" s="4" t="s">
        <v>209</v>
      </c>
      <c r="Q210" s="4" t="s">
        <v>12</v>
      </c>
      <c r="R210" s="4"/>
      <c r="S210" s="4"/>
      <c r="T210" s="4" t="str">
        <f t="shared" si="6"/>
        <v>PMG - BB -  - Pirita tee, suund kesklinnast, mere pool - 1</v>
      </c>
      <c r="U210" s="4" t="str">
        <f t="shared" si="7"/>
        <v>PMG - BB - Pirita tee, suund kesklinnast, mere pool</v>
      </c>
      <c r="V210" s="40">
        <v>44562</v>
      </c>
      <c r="W210" s="31"/>
    </row>
    <row r="211" spans="1:23" ht="15" x14ac:dyDescent="0.25">
      <c r="A211" s="4" t="s">
        <v>13</v>
      </c>
      <c r="B211" s="4" t="s">
        <v>12</v>
      </c>
      <c r="C211" s="4"/>
      <c r="D211" s="4"/>
      <c r="E211" s="1" t="s">
        <v>0</v>
      </c>
      <c r="F211" s="1" t="s">
        <v>8</v>
      </c>
      <c r="G211" s="4" t="s">
        <v>436</v>
      </c>
      <c r="H211" s="17">
        <v>1</v>
      </c>
      <c r="I211" s="4" t="s">
        <v>436</v>
      </c>
      <c r="J211" s="4"/>
      <c r="K211" s="4" t="s">
        <v>565</v>
      </c>
      <c r="L211" s="4"/>
      <c r="M211" s="4"/>
      <c r="N211" s="24">
        <v>24.820353999999998</v>
      </c>
      <c r="O211" s="24">
        <v>59.461519000000003</v>
      </c>
      <c r="P211" s="4" t="s">
        <v>210</v>
      </c>
      <c r="Q211" s="4" t="s">
        <v>12</v>
      </c>
      <c r="R211" s="4"/>
      <c r="S211" s="4"/>
      <c r="T211" s="4" t="str">
        <f t="shared" si="6"/>
        <v>PMG - BB -  - Pirita teel Topiga kohakuti suund kesklinna  - 1</v>
      </c>
      <c r="U211" s="4" t="str">
        <f t="shared" si="7"/>
        <v xml:space="preserve">PMG - BB - Pirita teel Topiga kohakuti suund kesklinna </v>
      </c>
      <c r="V211" s="40">
        <v>44562</v>
      </c>
      <c r="W211" s="31"/>
    </row>
    <row r="212" spans="1:23" ht="15" x14ac:dyDescent="0.25">
      <c r="A212" s="4" t="s">
        <v>13</v>
      </c>
      <c r="B212" s="4" t="s">
        <v>12</v>
      </c>
      <c r="C212" s="4"/>
      <c r="D212" s="4"/>
      <c r="E212" s="1" t="s">
        <v>0</v>
      </c>
      <c r="F212" s="1" t="s">
        <v>8</v>
      </c>
      <c r="G212" s="4" t="s">
        <v>437</v>
      </c>
      <c r="H212" s="17">
        <v>1</v>
      </c>
      <c r="I212" s="4" t="s">
        <v>437</v>
      </c>
      <c r="J212" s="4"/>
      <c r="K212" s="4" t="s">
        <v>565</v>
      </c>
      <c r="L212" s="4"/>
      <c r="M212" s="4"/>
      <c r="N212" s="24">
        <v>24.820353999999998</v>
      </c>
      <c r="O212" s="24">
        <v>59.461519000000003</v>
      </c>
      <c r="P212" s="4" t="s">
        <v>211</v>
      </c>
      <c r="Q212" s="4" t="s">
        <v>12</v>
      </c>
      <c r="R212" s="4"/>
      <c r="S212" s="4"/>
      <c r="T212" s="4" t="str">
        <f t="shared" si="6"/>
        <v>PMG - BB -  - Pirita teel Topiga kohakuti suund kesklinnast  - 1</v>
      </c>
      <c r="U212" s="4" t="str">
        <f t="shared" si="7"/>
        <v xml:space="preserve">PMG - BB - Pirita teel Topiga kohakuti suund kesklinnast </v>
      </c>
      <c r="V212" s="40">
        <v>44562</v>
      </c>
      <c r="W212" s="31"/>
    </row>
    <row r="213" spans="1:23" ht="15" x14ac:dyDescent="0.25">
      <c r="A213" s="4" t="s">
        <v>13</v>
      </c>
      <c r="B213" s="4" t="s">
        <v>12</v>
      </c>
      <c r="C213" s="4"/>
      <c r="D213" s="4"/>
      <c r="E213" s="1" t="s">
        <v>0</v>
      </c>
      <c r="F213" s="1" t="s">
        <v>8</v>
      </c>
      <c r="G213" s="4" t="s">
        <v>438</v>
      </c>
      <c r="H213" s="17">
        <v>1</v>
      </c>
      <c r="I213" s="4" t="s">
        <v>438</v>
      </c>
      <c r="J213" s="4"/>
      <c r="K213" s="4" t="s">
        <v>566</v>
      </c>
      <c r="L213" s="4"/>
      <c r="M213" s="4"/>
      <c r="N213" s="24">
        <v>24.815452000000001</v>
      </c>
      <c r="O213" s="24">
        <v>59.459710000000001</v>
      </c>
      <c r="P213" s="4" t="s">
        <v>212</v>
      </c>
      <c r="Q213" s="4" t="s">
        <v>12</v>
      </c>
      <c r="R213" s="4"/>
      <c r="S213" s="4"/>
      <c r="T213" s="4" t="str">
        <f t="shared" si="6"/>
        <v>PMG - BB -  - Pirita tee/Saare tee ristis, eraldusribal, suund kesklinna - 1</v>
      </c>
      <c r="U213" s="4" t="str">
        <f t="shared" si="7"/>
        <v>PMG - BB - Pirita tee/Saare tee ristis, eraldusribal, suund kesklinna</v>
      </c>
      <c r="V213" s="40">
        <v>44562</v>
      </c>
      <c r="W213" s="31"/>
    </row>
    <row r="214" spans="1:23" ht="15" x14ac:dyDescent="0.25">
      <c r="A214" s="4" t="s">
        <v>13</v>
      </c>
      <c r="B214" s="4" t="s">
        <v>12</v>
      </c>
      <c r="C214" s="4"/>
      <c r="D214" s="4"/>
      <c r="E214" s="1" t="s">
        <v>0</v>
      </c>
      <c r="F214" s="1" t="s">
        <v>8</v>
      </c>
      <c r="G214" s="4" t="s">
        <v>439</v>
      </c>
      <c r="H214" s="17">
        <v>1</v>
      </c>
      <c r="I214" s="4" t="s">
        <v>439</v>
      </c>
      <c r="J214" s="4"/>
      <c r="K214" s="4" t="s">
        <v>566</v>
      </c>
      <c r="L214" s="4"/>
      <c r="M214" s="4"/>
      <c r="N214" s="24">
        <v>24.815452000000001</v>
      </c>
      <c r="O214" s="24">
        <v>59.459710000000001</v>
      </c>
      <c r="P214" s="4" t="s">
        <v>213</v>
      </c>
      <c r="Q214" s="4" t="s">
        <v>12</v>
      </c>
      <c r="R214" s="4"/>
      <c r="S214" s="4"/>
      <c r="T214" s="4" t="str">
        <f t="shared" si="6"/>
        <v>PMG - BB -  - Pirita tee/Saare tee ristis, eraldusribal, suund kesklinnast - 1</v>
      </c>
      <c r="U214" s="4" t="str">
        <f t="shared" si="7"/>
        <v>PMG - BB - Pirita tee/Saare tee ristis, eraldusribal, suund kesklinnast</v>
      </c>
      <c r="V214" s="40">
        <v>44562</v>
      </c>
      <c r="W214" s="31"/>
    </row>
    <row r="215" spans="1:23" ht="15" x14ac:dyDescent="0.25">
      <c r="A215" s="4" t="s">
        <v>13</v>
      </c>
      <c r="B215" s="4" t="s">
        <v>12</v>
      </c>
      <c r="C215" s="4"/>
      <c r="D215" s="4"/>
      <c r="E215" s="1" t="s">
        <v>0</v>
      </c>
      <c r="F215" s="1" t="s">
        <v>8</v>
      </c>
      <c r="G215" s="4" t="s">
        <v>440</v>
      </c>
      <c r="H215" s="17">
        <v>1</v>
      </c>
      <c r="I215" s="4" t="s">
        <v>440</v>
      </c>
      <c r="J215" s="4"/>
      <c r="K215" s="4" t="s">
        <v>567</v>
      </c>
      <c r="L215" s="4"/>
      <c r="M215" s="4"/>
      <c r="N215" s="24">
        <v>24.816120999999999</v>
      </c>
      <c r="O215" s="24">
        <v>59.445231</v>
      </c>
      <c r="P215" s="4" t="s">
        <v>214</v>
      </c>
      <c r="Q215" s="4" t="s">
        <v>12</v>
      </c>
      <c r="R215" s="4"/>
      <c r="S215" s="4"/>
      <c r="T215" s="4" t="str">
        <f t="shared" si="6"/>
        <v>PMG - BB -  - Narva mnt. Lauluväljaku tagumise sissepääsu juures. ristmik  *,kesklinnast - 1</v>
      </c>
      <c r="U215" s="4" t="str">
        <f t="shared" si="7"/>
        <v>PMG - BB - Narva mnt. Lauluväljaku tagumise sissepääsu juures. ristmik  *,kesklinnast</v>
      </c>
      <c r="V215" s="40">
        <v>44562</v>
      </c>
      <c r="W215" s="31"/>
    </row>
    <row r="216" spans="1:23" ht="15" x14ac:dyDescent="0.25">
      <c r="A216" s="4" t="s">
        <v>13</v>
      </c>
      <c r="B216" s="4" t="s">
        <v>12</v>
      </c>
      <c r="C216" s="4"/>
      <c r="D216" s="4"/>
      <c r="E216" s="1" t="s">
        <v>0</v>
      </c>
      <c r="F216" s="1" t="s">
        <v>8</v>
      </c>
      <c r="G216" s="4" t="s">
        <v>441</v>
      </c>
      <c r="H216" s="17">
        <v>1</v>
      </c>
      <c r="I216" s="4" t="s">
        <v>441</v>
      </c>
      <c r="J216" s="4"/>
      <c r="K216" s="4" t="s">
        <v>568</v>
      </c>
      <c r="L216" s="4"/>
      <c r="M216" s="4"/>
      <c r="N216" s="24">
        <v>24.796866999999999</v>
      </c>
      <c r="O216" s="24">
        <v>59.444012999999998</v>
      </c>
      <c r="P216" s="4" t="s">
        <v>215</v>
      </c>
      <c r="Q216" s="4" t="s">
        <v>12</v>
      </c>
      <c r="R216" s="4"/>
      <c r="S216" s="4"/>
      <c r="T216" s="4" t="str">
        <f t="shared" si="6"/>
        <v>PMG - BB -  - Pirita tee ja Narva mnt ristmik*, kesklinnast - 1</v>
      </c>
      <c r="U216" s="4" t="str">
        <f t="shared" si="7"/>
        <v>PMG - BB - Pirita tee ja Narva mnt ristmik*, kesklinnast</v>
      </c>
      <c r="V216" s="40">
        <v>44562</v>
      </c>
      <c r="W216" s="31"/>
    </row>
    <row r="217" spans="1:23" ht="15" x14ac:dyDescent="0.25">
      <c r="A217" s="4" t="s">
        <v>13</v>
      </c>
      <c r="B217" s="4" t="s">
        <v>12</v>
      </c>
      <c r="C217" s="4"/>
      <c r="D217" s="4"/>
      <c r="E217" s="1" t="s">
        <v>0</v>
      </c>
      <c r="F217" s="1" t="s">
        <v>8</v>
      </c>
      <c r="G217" s="4" t="s">
        <v>442</v>
      </c>
      <c r="H217" s="17">
        <v>1</v>
      </c>
      <c r="I217" s="4" t="s">
        <v>442</v>
      </c>
      <c r="J217" s="4"/>
      <c r="K217" s="4" t="s">
        <v>568</v>
      </c>
      <c r="L217" s="4"/>
      <c r="M217" s="4"/>
      <c r="N217" s="24">
        <v>24.796866999999999</v>
      </c>
      <c r="O217" s="24">
        <v>59.444012999999998</v>
      </c>
      <c r="P217" s="4" t="s">
        <v>216</v>
      </c>
      <c r="Q217" s="4" t="s">
        <v>12</v>
      </c>
      <c r="R217" s="4"/>
      <c r="S217" s="4"/>
      <c r="T217" s="4" t="str">
        <f t="shared" si="6"/>
        <v>PMG - BB -  - Pirita tee ja Narva mnt ristmik*, kesklinna - 1</v>
      </c>
      <c r="U217" s="4" t="str">
        <f t="shared" si="7"/>
        <v>PMG - BB - Pirita tee ja Narva mnt ristmik*, kesklinna</v>
      </c>
      <c r="V217" s="40">
        <v>44562</v>
      </c>
      <c r="W217" s="31"/>
    </row>
    <row r="218" spans="1:23" ht="15" x14ac:dyDescent="0.25">
      <c r="A218" s="4" t="s">
        <v>13</v>
      </c>
      <c r="B218" s="4" t="s">
        <v>1050</v>
      </c>
      <c r="C218" s="4"/>
      <c r="D218" s="4"/>
      <c r="E218" s="1" t="s">
        <v>0</v>
      </c>
      <c r="F218" s="1" t="s">
        <v>0</v>
      </c>
      <c r="G218" s="4" t="s">
        <v>443</v>
      </c>
      <c r="H218" s="17">
        <v>1</v>
      </c>
      <c r="I218" s="4" t="s">
        <v>443</v>
      </c>
      <c r="J218" s="4"/>
      <c r="K218" s="4" t="s">
        <v>569</v>
      </c>
      <c r="L218" s="4"/>
      <c r="M218" s="4"/>
      <c r="N218" s="24">
        <v>24.776291000000001</v>
      </c>
      <c r="O218" s="24">
        <v>59.428144000000003</v>
      </c>
      <c r="P218" s="4" t="s">
        <v>217</v>
      </c>
      <c r="Q218" s="4" t="s">
        <v>1050</v>
      </c>
      <c r="R218" s="4"/>
      <c r="S218" s="4"/>
      <c r="T218" s="4" t="str">
        <f t="shared" si="6"/>
        <v>PMG - WALL -  - Tartu mnt 68 *, öösidega, (mõõt 12X11,7m), kokku 140,4m2 - 1</v>
      </c>
      <c r="U218" s="4" t="str">
        <f t="shared" si="7"/>
        <v>PMG - WALL - Tartu mnt 68 *, öösidega, (mõõt 12X11,7m), kokku 140,4m2</v>
      </c>
      <c r="V218" s="40">
        <v>44562</v>
      </c>
      <c r="W218" s="31"/>
    </row>
    <row r="219" spans="1:23" ht="15" x14ac:dyDescent="0.25">
      <c r="A219" s="4" t="s">
        <v>13</v>
      </c>
      <c r="B219" s="4" t="s">
        <v>1050</v>
      </c>
      <c r="C219" s="4"/>
      <c r="D219" s="4"/>
      <c r="E219" s="1" t="s">
        <v>0</v>
      </c>
      <c r="F219" s="1" t="s">
        <v>0</v>
      </c>
      <c r="G219" s="4" t="s">
        <v>444</v>
      </c>
      <c r="H219" s="17">
        <v>1</v>
      </c>
      <c r="I219" s="4" t="s">
        <v>444</v>
      </c>
      <c r="J219" s="4"/>
      <c r="K219" s="4" t="s">
        <v>570</v>
      </c>
      <c r="L219" s="4"/>
      <c r="M219" s="4"/>
      <c r="N219" s="24">
        <v>24.769366999999999</v>
      </c>
      <c r="O219" s="24">
        <v>59.430925000000002</v>
      </c>
      <c r="P219" s="4" t="s">
        <v>218</v>
      </c>
      <c r="Q219" s="4" t="s">
        <v>1050</v>
      </c>
      <c r="R219" s="4"/>
      <c r="S219" s="4"/>
      <c r="T219" s="4" t="str">
        <f t="shared" si="6"/>
        <v>PMG - WALL -  - Tartu mnt 42, (mõõt 12x10,90m), kokku 130,8m2          - 1</v>
      </c>
      <c r="U219" s="4" t="str">
        <f t="shared" si="7"/>
        <v xml:space="preserve">PMG - WALL - Tartu mnt 42, (mõõt 12x10,90m), kokku 130,8m2         </v>
      </c>
      <c r="V219" s="40">
        <v>44562</v>
      </c>
      <c r="W219" s="31"/>
    </row>
    <row r="220" spans="1:23" ht="15" x14ac:dyDescent="0.25">
      <c r="A220" s="4" t="s">
        <v>13</v>
      </c>
      <c r="B220" s="4" t="s">
        <v>1050</v>
      </c>
      <c r="C220" s="4"/>
      <c r="D220" s="4"/>
      <c r="E220" s="1" t="s">
        <v>0</v>
      </c>
      <c r="F220" s="1" t="s">
        <v>0</v>
      </c>
      <c r="G220" s="4" t="s">
        <v>445</v>
      </c>
      <c r="H220" s="17">
        <v>1</v>
      </c>
      <c r="I220" s="4" t="s">
        <v>445</v>
      </c>
      <c r="J220" s="4"/>
      <c r="K220" s="4" t="s">
        <v>571</v>
      </c>
      <c r="L220" s="4"/>
      <c r="M220" s="4"/>
      <c r="N220" s="24">
        <v>24.757995000000001</v>
      </c>
      <c r="O220" s="24">
        <v>59.433660000000003</v>
      </c>
      <c r="P220" s="4" t="s">
        <v>219</v>
      </c>
      <c r="Q220" s="4" t="s">
        <v>1050</v>
      </c>
      <c r="R220" s="4"/>
      <c r="S220" s="4"/>
      <c r="T220" s="4" t="str">
        <f t="shared" si="6"/>
        <v>PMG - WALL -  - Rävala pst.3, Radisson Hotell, (mõõt 7,5X24,12m) kokku 180,90m2 - 1</v>
      </c>
      <c r="U220" s="4" t="str">
        <f t="shared" si="7"/>
        <v>PMG - WALL - Rävala pst.3, Radisson Hotell, (mõõt 7,5X24,12m) kokku 180,90m2</v>
      </c>
      <c r="V220" s="40">
        <v>44562</v>
      </c>
      <c r="W220" s="31"/>
    </row>
    <row r="221" spans="1:23" ht="15" x14ac:dyDescent="0.25">
      <c r="A221" s="4" t="s">
        <v>13</v>
      </c>
      <c r="B221" s="4" t="s">
        <v>1050</v>
      </c>
      <c r="C221" s="4"/>
      <c r="D221" s="4"/>
      <c r="E221" s="1" t="s">
        <v>0</v>
      </c>
      <c r="F221" s="1" t="s">
        <v>0</v>
      </c>
      <c r="G221" s="4" t="s">
        <v>446</v>
      </c>
      <c r="H221" s="17">
        <v>1</v>
      </c>
      <c r="I221" s="4" t="s">
        <v>446</v>
      </c>
      <c r="J221" s="4"/>
      <c r="K221" s="4" t="s">
        <v>572</v>
      </c>
      <c r="L221" s="4"/>
      <c r="M221" s="4"/>
      <c r="N221" s="24">
        <v>24.768405000000001</v>
      </c>
      <c r="O221" s="24">
        <v>59.438167999999997</v>
      </c>
      <c r="P221" s="4" t="s">
        <v>220</v>
      </c>
      <c r="Q221" s="4" t="s">
        <v>1050</v>
      </c>
      <c r="R221" s="4"/>
      <c r="S221" s="4"/>
      <c r="T221" s="4" t="str">
        <f t="shared" si="6"/>
        <v>PMG - WALL -  - Narva mnt 19, (mõõt 6X9,9m) - 1</v>
      </c>
      <c r="U221" s="4" t="str">
        <f t="shared" si="7"/>
        <v>PMG - WALL - Narva mnt 19, (mõõt 6X9,9m)</v>
      </c>
      <c r="V221" s="40">
        <v>44562</v>
      </c>
      <c r="W221" s="31"/>
    </row>
    <row r="222" spans="1:23" ht="15" x14ac:dyDescent="0.25">
      <c r="A222" s="4" t="s">
        <v>13</v>
      </c>
      <c r="B222" s="4" t="s">
        <v>1050</v>
      </c>
      <c r="C222" s="4"/>
      <c r="D222" s="4"/>
      <c r="E222" s="1" t="s">
        <v>0</v>
      </c>
      <c r="F222" s="1" t="s">
        <v>0</v>
      </c>
      <c r="G222" s="4" t="s">
        <v>447</v>
      </c>
      <c r="H222" s="17">
        <v>1</v>
      </c>
      <c r="I222" s="4" t="s">
        <v>447</v>
      </c>
      <c r="J222" s="4"/>
      <c r="K222" s="4" t="s">
        <v>573</v>
      </c>
      <c r="L222" s="4"/>
      <c r="M222" s="4"/>
      <c r="N222" s="24">
        <v>24.774355</v>
      </c>
      <c r="O222" s="24">
        <v>59.439064999999999</v>
      </c>
      <c r="P222" s="4" t="s">
        <v>221</v>
      </c>
      <c r="Q222" s="4" t="s">
        <v>1050</v>
      </c>
      <c r="R222" s="4"/>
      <c r="S222" s="4"/>
      <c r="T222" s="4" t="str">
        <f t="shared" si="6"/>
        <v>PMG - WALL -  - Narva mnt 31 -D (üleval),(mõõt 6X3m) - 1</v>
      </c>
      <c r="U222" s="4" t="str">
        <f t="shared" si="7"/>
        <v>PMG - WALL - Narva mnt 31 -D (üleval),(mõõt 6X3m)</v>
      </c>
      <c r="V222" s="40">
        <v>44562</v>
      </c>
      <c r="W222" s="31"/>
    </row>
    <row r="223" spans="1:23" ht="15" x14ac:dyDescent="0.25">
      <c r="A223" s="4" t="s">
        <v>13</v>
      </c>
      <c r="B223" s="4" t="s">
        <v>1050</v>
      </c>
      <c r="C223" s="4"/>
      <c r="D223" s="4"/>
      <c r="E223" s="1" t="s">
        <v>0</v>
      </c>
      <c r="F223" s="1" t="s">
        <v>0</v>
      </c>
      <c r="G223" s="4" t="s">
        <v>448</v>
      </c>
      <c r="H223" s="17">
        <v>1</v>
      </c>
      <c r="I223" s="4" t="s">
        <v>448</v>
      </c>
      <c r="J223" s="4"/>
      <c r="K223" s="4" t="s">
        <v>573</v>
      </c>
      <c r="L223" s="4"/>
      <c r="M223" s="4"/>
      <c r="N223" s="24">
        <v>24.774355</v>
      </c>
      <c r="O223" s="24">
        <v>59.439064999999999</v>
      </c>
      <c r="P223" s="4" t="s">
        <v>221</v>
      </c>
      <c r="Q223" s="4" t="s">
        <v>1050</v>
      </c>
      <c r="R223" s="4"/>
      <c r="S223" s="4"/>
      <c r="T223" s="4" t="str">
        <f t="shared" si="6"/>
        <v>PMG - WALL -  - Narva mnt 31-C (ülalt teine), (mõõt 6X3m)  - 1</v>
      </c>
      <c r="U223" s="4" t="str">
        <f t="shared" si="7"/>
        <v xml:space="preserve">PMG - WALL - Narva mnt 31-C (ülalt teine), (mõõt 6X3m) </v>
      </c>
      <c r="V223" s="40">
        <v>44562</v>
      </c>
      <c r="W223" s="31"/>
    </row>
    <row r="224" spans="1:23" ht="15" x14ac:dyDescent="0.25">
      <c r="A224" s="4" t="s">
        <v>13</v>
      </c>
      <c r="B224" s="4" t="s">
        <v>1050</v>
      </c>
      <c r="C224" s="4"/>
      <c r="D224" s="4"/>
      <c r="E224" s="1" t="s">
        <v>0</v>
      </c>
      <c r="F224" s="1" t="s">
        <v>0</v>
      </c>
      <c r="G224" s="4" t="s">
        <v>449</v>
      </c>
      <c r="H224" s="17">
        <v>1</v>
      </c>
      <c r="I224" s="4" t="s">
        <v>449</v>
      </c>
      <c r="J224" s="4"/>
      <c r="K224" s="4" t="s">
        <v>573</v>
      </c>
      <c r="L224" s="4"/>
      <c r="M224" s="4"/>
      <c r="N224" s="24">
        <v>24.774355</v>
      </c>
      <c r="O224" s="24">
        <v>59.439064999999999</v>
      </c>
      <c r="P224" s="4" t="s">
        <v>221</v>
      </c>
      <c r="Q224" s="4" t="s">
        <v>1050</v>
      </c>
      <c r="R224" s="4"/>
      <c r="S224" s="4"/>
      <c r="T224" s="4" t="str">
        <f t="shared" si="6"/>
        <v>PMG - WALL -  - Narva mnt 31-B (ülalt kolmas), (mõõt 6X3m) - 1</v>
      </c>
      <c r="U224" s="4" t="str">
        <f t="shared" si="7"/>
        <v>PMG - WALL - Narva mnt 31-B (ülalt kolmas), (mõõt 6X3m)</v>
      </c>
      <c r="V224" s="40">
        <v>44562</v>
      </c>
      <c r="W224" s="31"/>
    </row>
    <row r="225" spans="1:23" ht="15" x14ac:dyDescent="0.25">
      <c r="A225" s="4" t="s">
        <v>13</v>
      </c>
      <c r="B225" s="4" t="s">
        <v>1050</v>
      </c>
      <c r="C225" s="4"/>
      <c r="D225" s="4"/>
      <c r="E225" s="1" t="s">
        <v>0</v>
      </c>
      <c r="F225" s="1" t="s">
        <v>0</v>
      </c>
      <c r="G225" s="4" t="s">
        <v>450</v>
      </c>
      <c r="H225" s="17">
        <v>1</v>
      </c>
      <c r="I225" s="4" t="s">
        <v>450</v>
      </c>
      <c r="J225" s="4"/>
      <c r="K225" s="4" t="s">
        <v>573</v>
      </c>
      <c r="L225" s="4"/>
      <c r="M225" s="4"/>
      <c r="N225" s="24">
        <v>24.774355</v>
      </c>
      <c r="O225" s="24">
        <v>59.439064999999999</v>
      </c>
      <c r="P225" s="4" t="s">
        <v>221</v>
      </c>
      <c r="Q225" s="4" t="s">
        <v>1050</v>
      </c>
      <c r="R225" s="4"/>
      <c r="S225" s="4"/>
      <c r="T225" s="4" t="str">
        <f t="shared" si="6"/>
        <v>PMG - WALL -  - Narva mnt 31-A (alt esimene), ( mõõt 6X3m) - 1</v>
      </c>
      <c r="U225" s="4" t="str">
        <f t="shared" si="7"/>
        <v>PMG - WALL - Narva mnt 31-A (alt esimene), ( mõõt 6X3m)</v>
      </c>
      <c r="V225" s="40">
        <v>44562</v>
      </c>
      <c r="W225" s="31"/>
    </row>
    <row r="226" spans="1:23" ht="15" x14ac:dyDescent="0.25">
      <c r="A226" s="4" t="s">
        <v>13</v>
      </c>
      <c r="B226" s="4" t="s">
        <v>1050</v>
      </c>
      <c r="C226" s="4"/>
      <c r="D226" s="4"/>
      <c r="E226" s="1" t="s">
        <v>0</v>
      </c>
      <c r="F226" s="1" t="s">
        <v>0</v>
      </c>
      <c r="G226" s="4" t="s">
        <v>451</v>
      </c>
      <c r="H226" s="17">
        <v>1</v>
      </c>
      <c r="I226" s="4" t="s">
        <v>451</v>
      </c>
      <c r="J226" s="4"/>
      <c r="K226" s="4" t="s">
        <v>573</v>
      </c>
      <c r="L226" s="4"/>
      <c r="M226" s="4"/>
      <c r="N226" s="24">
        <v>24.774355</v>
      </c>
      <c r="O226" s="24">
        <v>59.439064999999999</v>
      </c>
      <c r="P226" s="4" t="s">
        <v>221</v>
      </c>
      <c r="Q226" s="4" t="s">
        <v>1050</v>
      </c>
      <c r="R226" s="4"/>
      <c r="S226" s="4"/>
      <c r="T226" s="4" t="str">
        <f t="shared" si="6"/>
        <v>PMG - WALL -  - Narva mnt 31, ( mõõt 6X12,5m) - 1</v>
      </c>
      <c r="U226" s="4" t="str">
        <f t="shared" si="7"/>
        <v>PMG - WALL - Narva mnt 31, ( mõõt 6X12,5m)</v>
      </c>
      <c r="V226" s="40">
        <v>44562</v>
      </c>
      <c r="W226" s="31"/>
    </row>
    <row r="227" spans="1:23" ht="15" x14ac:dyDescent="0.25">
      <c r="A227" s="4" t="s">
        <v>13</v>
      </c>
      <c r="B227" s="4" t="s">
        <v>1050</v>
      </c>
      <c r="C227" s="4"/>
      <c r="D227" s="4"/>
      <c r="E227" s="4" t="s">
        <v>0</v>
      </c>
      <c r="F227" s="4" t="s">
        <v>0</v>
      </c>
      <c r="G227" s="4" t="s">
        <v>589</v>
      </c>
      <c r="H227" s="17">
        <v>1</v>
      </c>
      <c r="I227" s="4" t="s">
        <v>589</v>
      </c>
      <c r="J227" s="4"/>
      <c r="K227" s="4" t="s">
        <v>574</v>
      </c>
      <c r="L227" s="4"/>
      <c r="M227" s="4"/>
      <c r="N227" s="24">
        <v>24.758455999999999</v>
      </c>
      <c r="O227" s="24">
        <v>59.435670999999999</v>
      </c>
      <c r="P227" s="4" t="s">
        <v>222</v>
      </c>
      <c r="Q227" s="4" t="s">
        <v>1050</v>
      </c>
      <c r="R227" s="4"/>
      <c r="S227" s="4"/>
      <c r="T227" s="4" t="str">
        <f t="shared" si="6"/>
        <v>PMG - WALL -  - Gonsiori 5, (mõõt 3,95X9,95m),  - 1</v>
      </c>
      <c r="U227" s="4" t="str">
        <f t="shared" si="7"/>
        <v xml:space="preserve">PMG - WALL - Gonsiori 5, (mõõt 3,95X9,95m), </v>
      </c>
      <c r="V227" s="40">
        <v>44562</v>
      </c>
      <c r="W227" s="31"/>
    </row>
    <row r="228" spans="1:23" ht="15" x14ac:dyDescent="0.25">
      <c r="A228" s="4" t="s">
        <v>13</v>
      </c>
      <c r="B228" s="4" t="s">
        <v>1050</v>
      </c>
      <c r="C228" s="4"/>
      <c r="D228" s="4"/>
      <c r="E228" s="4" t="s">
        <v>0</v>
      </c>
      <c r="F228" s="4" t="s">
        <v>0</v>
      </c>
      <c r="G228" s="4" t="s">
        <v>452</v>
      </c>
      <c r="H228" s="17">
        <v>1</v>
      </c>
      <c r="I228" s="4" t="s">
        <v>452</v>
      </c>
      <c r="J228" s="4"/>
      <c r="K228" s="4" t="s">
        <v>575</v>
      </c>
      <c r="L228" s="4"/>
      <c r="M228" s="4"/>
      <c r="N228" s="24">
        <v>24.743625999999999</v>
      </c>
      <c r="O228" s="24">
        <v>59.427463000000003</v>
      </c>
      <c r="P228" s="4" t="s">
        <v>223</v>
      </c>
      <c r="Q228" s="4" t="s">
        <v>1050</v>
      </c>
      <c r="R228" s="4"/>
      <c r="S228" s="4"/>
      <c r="T228" s="4" t="str">
        <f t="shared" si="6"/>
        <v>PMG - WALL -  - Pärnu mnt./Liivalaia nurgal, IMAX, (mõõt 9,9x14,4m), kokku 142,56m2 - 1</v>
      </c>
      <c r="U228" s="4" t="str">
        <f t="shared" si="7"/>
        <v>PMG - WALL - Pärnu mnt./Liivalaia nurgal, IMAX, (mõõt 9,9x14,4m), kokku 142,56m2</v>
      </c>
      <c r="V228" s="40">
        <v>44562</v>
      </c>
      <c r="W228" s="31"/>
    </row>
    <row r="229" spans="1:23" ht="15" x14ac:dyDescent="0.25">
      <c r="A229" s="4" t="s">
        <v>13</v>
      </c>
      <c r="B229" s="4" t="s">
        <v>1050</v>
      </c>
      <c r="C229" s="4"/>
      <c r="D229" s="4"/>
      <c r="E229" s="4" t="s">
        <v>0</v>
      </c>
      <c r="F229" s="4" t="s">
        <v>0</v>
      </c>
      <c r="G229" s="4" t="s">
        <v>590</v>
      </c>
      <c r="H229" s="17">
        <v>1</v>
      </c>
      <c r="I229" s="4" t="s">
        <v>590</v>
      </c>
      <c r="J229" s="4"/>
      <c r="K229" s="4" t="s">
        <v>576</v>
      </c>
      <c r="L229" s="4"/>
      <c r="M229" s="4"/>
      <c r="N229" s="24">
        <v>24.753219999999999</v>
      </c>
      <c r="O229" s="24">
        <v>59.429029</v>
      </c>
      <c r="P229" s="4" t="s">
        <v>224</v>
      </c>
      <c r="Q229" s="4" t="s">
        <v>1050</v>
      </c>
      <c r="R229" s="4"/>
      <c r="S229" s="4"/>
      <c r="T229" s="4" t="str">
        <f t="shared" si="6"/>
        <v>PMG - WALL -  - Liivalaia 25, suunaga Tartu mnt.poole, (mõõt 2,5x7m)   - 1</v>
      </c>
      <c r="U229" s="4" t="str">
        <f t="shared" si="7"/>
        <v xml:space="preserve">PMG - WALL - Liivalaia 25, suunaga Tartu mnt.poole, (mõõt 2,5x7m)  </v>
      </c>
      <c r="V229" s="40">
        <v>44562</v>
      </c>
      <c r="W229" s="31"/>
    </row>
    <row r="230" spans="1:23" ht="15" x14ac:dyDescent="0.25">
      <c r="A230" s="4" t="s">
        <v>13</v>
      </c>
      <c r="B230" s="4" t="s">
        <v>1050</v>
      </c>
      <c r="C230" s="4"/>
      <c r="D230" s="4"/>
      <c r="E230" s="4" t="s">
        <v>0</v>
      </c>
      <c r="F230" s="4" t="s">
        <v>0</v>
      </c>
      <c r="G230" s="4" t="s">
        <v>453</v>
      </c>
      <c r="H230" s="17">
        <v>1</v>
      </c>
      <c r="I230" s="4" t="s">
        <v>453</v>
      </c>
      <c r="J230" s="4"/>
      <c r="K230" s="4" t="s">
        <v>577</v>
      </c>
      <c r="L230" s="4"/>
      <c r="M230" s="4"/>
      <c r="N230" s="24">
        <v>24.75628</v>
      </c>
      <c r="O230" s="24">
        <v>59.429555000000001</v>
      </c>
      <c r="P230" s="4" t="s">
        <v>225</v>
      </c>
      <c r="Q230" s="4" t="s">
        <v>1050</v>
      </c>
      <c r="R230" s="4"/>
      <c r="S230" s="4"/>
      <c r="T230" s="4" t="str">
        <f t="shared" si="6"/>
        <v>PMG - WALL -  - Liivalaia 29-1, (mõõt 6X3m) - 1</v>
      </c>
      <c r="U230" s="4" t="str">
        <f t="shared" si="7"/>
        <v>PMG - WALL - Liivalaia 29-1, (mõõt 6X3m)</v>
      </c>
      <c r="V230" s="40">
        <v>44562</v>
      </c>
      <c r="W230" s="31"/>
    </row>
    <row r="231" spans="1:23" ht="15" x14ac:dyDescent="0.25">
      <c r="A231" s="4" t="s">
        <v>13</v>
      </c>
      <c r="B231" s="4" t="s">
        <v>1050</v>
      </c>
      <c r="C231" s="4"/>
      <c r="D231" s="4"/>
      <c r="E231" s="4" t="s">
        <v>0</v>
      </c>
      <c r="F231" s="4" t="s">
        <v>0</v>
      </c>
      <c r="G231" s="4" t="s">
        <v>454</v>
      </c>
      <c r="H231" s="17">
        <v>1</v>
      </c>
      <c r="I231" s="4" t="s">
        <v>454</v>
      </c>
      <c r="J231" s="4"/>
      <c r="K231" s="4" t="s">
        <v>577</v>
      </c>
      <c r="L231" s="4"/>
      <c r="M231" s="4"/>
      <c r="N231" s="24">
        <v>24.75628</v>
      </c>
      <c r="O231" s="24">
        <v>59.429555000000001</v>
      </c>
      <c r="P231" s="4" t="s">
        <v>225</v>
      </c>
      <c r="Q231" s="4" t="s">
        <v>1050</v>
      </c>
      <c r="R231" s="4"/>
      <c r="S231" s="4"/>
      <c r="T231" s="4" t="str">
        <f t="shared" si="6"/>
        <v>PMG - WALL -  - Liivalaia 29-2, (mõõt 6X3m) - 1</v>
      </c>
      <c r="U231" s="4" t="str">
        <f t="shared" si="7"/>
        <v>PMG - WALL - Liivalaia 29-2, (mõõt 6X3m)</v>
      </c>
      <c r="V231" s="40">
        <v>44562</v>
      </c>
      <c r="W231" s="31"/>
    </row>
    <row r="232" spans="1:23" ht="15" x14ac:dyDescent="0.25">
      <c r="A232" s="4" t="s">
        <v>13</v>
      </c>
      <c r="B232" s="4" t="s">
        <v>1050</v>
      </c>
      <c r="C232" s="4"/>
      <c r="D232" s="4"/>
      <c r="E232" s="4" t="s">
        <v>0</v>
      </c>
      <c r="F232" s="4" t="s">
        <v>0</v>
      </c>
      <c r="G232" s="4" t="s">
        <v>455</v>
      </c>
      <c r="H232" s="17">
        <v>1</v>
      </c>
      <c r="I232" s="4" t="s">
        <v>455</v>
      </c>
      <c r="J232" s="4"/>
      <c r="K232" s="4" t="s">
        <v>577</v>
      </c>
      <c r="L232" s="4"/>
      <c r="M232" s="4"/>
      <c r="N232" s="24">
        <v>24.75628</v>
      </c>
      <c r="O232" s="24">
        <v>59.429555000000001</v>
      </c>
      <c r="P232" s="4" t="s">
        <v>225</v>
      </c>
      <c r="Q232" s="4" t="s">
        <v>1050</v>
      </c>
      <c r="R232" s="4"/>
      <c r="S232" s="4"/>
      <c r="T232" s="4" t="str">
        <f t="shared" si="6"/>
        <v>PMG - WALL -  - Liivalaia 29-3, (mõõt 6X3m) - 1</v>
      </c>
      <c r="U232" s="4" t="str">
        <f t="shared" si="7"/>
        <v>PMG - WALL - Liivalaia 29-3, (mõõt 6X3m)</v>
      </c>
      <c r="V232" s="40">
        <v>44562</v>
      </c>
      <c r="W232" s="31"/>
    </row>
    <row r="233" spans="1:23" ht="15" x14ac:dyDescent="0.25">
      <c r="A233" s="4" t="s">
        <v>13</v>
      </c>
      <c r="B233" s="4" t="s">
        <v>1050</v>
      </c>
      <c r="C233" s="4"/>
      <c r="D233" s="4"/>
      <c r="E233" s="4" t="s">
        <v>0</v>
      </c>
      <c r="F233" s="4" t="s">
        <v>0</v>
      </c>
      <c r="G233" s="4" t="s">
        <v>456</v>
      </c>
      <c r="H233" s="17">
        <v>1</v>
      </c>
      <c r="I233" s="4" t="s">
        <v>456</v>
      </c>
      <c r="J233" s="4"/>
      <c r="K233" s="4" t="s">
        <v>577</v>
      </c>
      <c r="L233" s="4"/>
      <c r="M233" s="4"/>
      <c r="N233" s="24">
        <v>24.75628</v>
      </c>
      <c r="O233" s="24">
        <v>59.429555000000001</v>
      </c>
      <c r="P233" s="4" t="s">
        <v>226</v>
      </c>
      <c r="Q233" s="4" t="s">
        <v>1050</v>
      </c>
      <c r="R233" s="4"/>
      <c r="S233" s="4"/>
      <c r="T233" s="4" t="str">
        <f t="shared" si="6"/>
        <v>PMG - WALL -  - Liivalaia 29 seinal, (mõõt 6x9m), kokku 54m2 - 1</v>
      </c>
      <c r="U233" s="4" t="str">
        <f t="shared" si="7"/>
        <v>PMG - WALL - Liivalaia 29 seinal, (mõõt 6x9m), kokku 54m2</v>
      </c>
      <c r="V233" s="40">
        <v>44562</v>
      </c>
      <c r="W233" s="31"/>
    </row>
    <row r="234" spans="1:23" ht="15" x14ac:dyDescent="0.25">
      <c r="A234" s="4" t="s">
        <v>13</v>
      </c>
      <c r="B234" s="4" t="s">
        <v>1050</v>
      </c>
      <c r="C234" s="4"/>
      <c r="D234" s="4"/>
      <c r="E234" s="4" t="s">
        <v>0</v>
      </c>
      <c r="F234" s="4" t="s">
        <v>0</v>
      </c>
      <c r="G234" s="4" t="s">
        <v>457</v>
      </c>
      <c r="H234" s="17">
        <v>1</v>
      </c>
      <c r="I234" s="4" t="s">
        <v>457</v>
      </c>
      <c r="J234" s="4"/>
      <c r="K234" s="4" t="s">
        <v>577</v>
      </c>
      <c r="L234" s="4"/>
      <c r="M234" s="4"/>
      <c r="N234" s="24">
        <v>24.75628</v>
      </c>
      <c r="O234" s="24">
        <v>59.429555000000001</v>
      </c>
      <c r="P234" s="4" t="s">
        <v>227</v>
      </c>
      <c r="Q234" s="4" t="s">
        <v>1050</v>
      </c>
      <c r="R234" s="4"/>
      <c r="S234" s="4"/>
      <c r="T234" s="4" t="str">
        <f t="shared" si="6"/>
        <v>PMG - WALL -  - Liivalaia 29 seinal, MÕÕT: 6x18,2m/109,2m2 - 1</v>
      </c>
      <c r="U234" s="4" t="str">
        <f t="shared" si="7"/>
        <v>PMG - WALL - Liivalaia 29 seinal, MÕÕT: 6x18,2m/109,2m2</v>
      </c>
      <c r="V234" s="40">
        <v>44562</v>
      </c>
      <c r="W234" s="31"/>
    </row>
    <row r="235" spans="1:23" ht="15" x14ac:dyDescent="0.25">
      <c r="A235" s="4" t="s">
        <v>13</v>
      </c>
      <c r="B235" s="4" t="s">
        <v>1050</v>
      </c>
      <c r="C235" s="4"/>
      <c r="D235" s="4"/>
      <c r="E235" s="4" t="s">
        <v>0</v>
      </c>
      <c r="F235" s="4" t="s">
        <v>0</v>
      </c>
      <c r="G235" s="4" t="s">
        <v>458</v>
      </c>
      <c r="H235" s="17">
        <v>1</v>
      </c>
      <c r="I235" s="4" t="s">
        <v>458</v>
      </c>
      <c r="J235" s="4"/>
      <c r="K235" s="4" t="s">
        <v>575</v>
      </c>
      <c r="L235" s="4"/>
      <c r="M235" s="4"/>
      <c r="N235" s="24">
        <v>24.744157999999999</v>
      </c>
      <c r="O235" s="24">
        <v>59.427512</v>
      </c>
      <c r="P235" s="4" t="s">
        <v>228</v>
      </c>
      <c r="Q235" s="4" t="s">
        <v>1050</v>
      </c>
      <c r="R235" s="4"/>
      <c r="S235" s="4"/>
      <c r="T235" s="4" t="str">
        <f t="shared" si="6"/>
        <v>PMG - WALL -  - Liivalaia 3, MÕÕT: 6x9,9m - 1</v>
      </c>
      <c r="U235" s="4" t="str">
        <f t="shared" si="7"/>
        <v>PMG - WALL - Liivalaia 3, MÕÕT: 6x9,9m</v>
      </c>
      <c r="V235" s="40">
        <v>44562</v>
      </c>
      <c r="W235" s="31"/>
    </row>
    <row r="236" spans="1:23" ht="15" x14ac:dyDescent="0.25">
      <c r="A236" s="4" t="s">
        <v>13</v>
      </c>
      <c r="B236" s="4" t="s">
        <v>1050</v>
      </c>
      <c r="C236" s="4"/>
      <c r="D236" s="4"/>
      <c r="E236" s="4" t="s">
        <v>0</v>
      </c>
      <c r="F236" s="4" t="s">
        <v>0</v>
      </c>
      <c r="G236" s="4" t="s">
        <v>459</v>
      </c>
      <c r="H236" s="17">
        <v>1</v>
      </c>
      <c r="I236" s="4" t="s">
        <v>459</v>
      </c>
      <c r="J236" s="4"/>
      <c r="K236" s="4" t="s">
        <v>575</v>
      </c>
      <c r="L236" s="4"/>
      <c r="M236" s="4"/>
      <c r="N236" s="24">
        <v>24.744157999999999</v>
      </c>
      <c r="O236" s="24">
        <v>59.427512</v>
      </c>
      <c r="P236" s="4" t="s">
        <v>229</v>
      </c>
      <c r="Q236" s="4" t="s">
        <v>1050</v>
      </c>
      <c r="R236" s="4"/>
      <c r="S236" s="4"/>
      <c r="T236" s="4" t="str">
        <f t="shared" si="6"/>
        <v>PMG - WALL -  - Suur-Ameerika 35 Kristiine pool 4.2x2.1m (öösidega 30cm,tugevdatud serv) - 1</v>
      </c>
      <c r="U236" s="4" t="str">
        <f t="shared" si="7"/>
        <v>PMG - WALL - Suur-Ameerika 35 Kristiine pool 4.2x2.1m (öösidega 30cm,tugevdatud serv)</v>
      </c>
      <c r="V236" s="40">
        <v>44562</v>
      </c>
      <c r="W236" s="31"/>
    </row>
    <row r="237" spans="1:23" ht="15" x14ac:dyDescent="0.25">
      <c r="A237" s="4" t="s">
        <v>13</v>
      </c>
      <c r="B237" s="4" t="s">
        <v>1050</v>
      </c>
      <c r="C237" s="4"/>
      <c r="D237" s="4"/>
      <c r="E237" s="4" t="s">
        <v>0</v>
      </c>
      <c r="F237" s="4" t="s">
        <v>0</v>
      </c>
      <c r="G237" s="4" t="s">
        <v>460</v>
      </c>
      <c r="H237" s="17">
        <v>1</v>
      </c>
      <c r="I237" s="4" t="s">
        <v>460</v>
      </c>
      <c r="J237" s="4"/>
      <c r="K237" s="4" t="s">
        <v>578</v>
      </c>
      <c r="L237" s="4"/>
      <c r="M237" s="4"/>
      <c r="N237" s="24">
        <v>24.725280000000001</v>
      </c>
      <c r="O237" s="24">
        <v>59.428260000000002</v>
      </c>
      <c r="P237" s="4" t="s">
        <v>230</v>
      </c>
      <c r="Q237" s="4" t="s">
        <v>1050</v>
      </c>
      <c r="R237" s="4"/>
      <c r="S237" s="4"/>
      <c r="T237" s="4" t="str">
        <f t="shared" si="6"/>
        <v>PMG - WALL -  - Kristiine viadukt,kesklinnast kristiinesse, valgustatud, (mõõt 8,89x2,09m) - 1</v>
      </c>
      <c r="U237" s="4" t="str">
        <f t="shared" si="7"/>
        <v>PMG - WALL - Kristiine viadukt,kesklinnast kristiinesse, valgustatud, (mõõt 8,89x2,09m)</v>
      </c>
      <c r="V237" s="40">
        <v>44562</v>
      </c>
      <c r="W237" s="31"/>
    </row>
    <row r="238" spans="1:23" ht="15" x14ac:dyDescent="0.25">
      <c r="A238" s="4" t="s">
        <v>13</v>
      </c>
      <c r="B238" s="4" t="s">
        <v>1050</v>
      </c>
      <c r="C238" s="4"/>
      <c r="D238" s="4"/>
      <c r="E238" s="4" t="s">
        <v>0</v>
      </c>
      <c r="F238" s="4" t="s">
        <v>0</v>
      </c>
      <c r="G238" s="4" t="s">
        <v>461</v>
      </c>
      <c r="H238" s="17">
        <v>1</v>
      </c>
      <c r="I238" s="4" t="s">
        <v>461</v>
      </c>
      <c r="J238" s="4"/>
      <c r="K238" s="4" t="s">
        <v>578</v>
      </c>
      <c r="L238" s="4"/>
      <c r="M238" s="4"/>
      <c r="N238" s="24">
        <v>24.725280000000001</v>
      </c>
      <c r="O238" s="24">
        <v>59.428260000000002</v>
      </c>
      <c r="P238" s="4" t="s">
        <v>231</v>
      </c>
      <c r="Q238" s="4" t="s">
        <v>1050</v>
      </c>
      <c r="R238" s="4"/>
      <c r="S238" s="4"/>
      <c r="T238" s="4" t="str">
        <f t="shared" si="6"/>
        <v>PMG - WALL -  - Kristiine viadukt,kesklinna, valgustamata (saab korda), (mõõt 12,85 x2,09m) - 1</v>
      </c>
      <c r="U238" s="4" t="str">
        <f t="shared" si="7"/>
        <v>PMG - WALL - Kristiine viadukt,kesklinna, valgustamata (saab korda), (mõõt 12,85 x2,09m)</v>
      </c>
      <c r="V238" s="40">
        <v>44562</v>
      </c>
      <c r="W238" s="31"/>
    </row>
    <row r="239" spans="1:23" ht="15" x14ac:dyDescent="0.25">
      <c r="A239" s="4" t="s">
        <v>13</v>
      </c>
      <c r="B239" s="4" t="s">
        <v>1050</v>
      </c>
      <c r="C239" s="4"/>
      <c r="D239" s="4"/>
      <c r="E239" s="4" t="s">
        <v>0</v>
      </c>
      <c r="F239" s="4" t="s">
        <v>0</v>
      </c>
      <c r="G239" s="4" t="s">
        <v>462</v>
      </c>
      <c r="H239" s="17">
        <v>1</v>
      </c>
      <c r="I239" s="4" t="s">
        <v>462</v>
      </c>
      <c r="J239" s="4"/>
      <c r="K239" s="4" t="s">
        <v>578</v>
      </c>
      <c r="L239" s="4"/>
      <c r="M239" s="4"/>
      <c r="N239" s="24">
        <v>24.725280000000001</v>
      </c>
      <c r="O239" s="24">
        <v>59.428260000000002</v>
      </c>
      <c r="P239" s="4" t="s">
        <v>232</v>
      </c>
      <c r="Q239" s="4" t="s">
        <v>1050</v>
      </c>
      <c r="R239" s="4"/>
      <c r="S239" s="4"/>
      <c r="T239" s="4" t="str">
        <f t="shared" si="6"/>
        <v>PMG - WALL -  - Kristiine viadukt, väike, kesklinnast (mõõt 5,39X2,09m) - 1</v>
      </c>
      <c r="U239" s="4" t="str">
        <f t="shared" si="7"/>
        <v>PMG - WALL - Kristiine viadukt, väike, kesklinnast (mõõt 5,39X2,09m)</v>
      </c>
      <c r="V239" s="40">
        <v>44562</v>
      </c>
      <c r="W239" s="31"/>
    </row>
    <row r="240" spans="1:23" ht="15" x14ac:dyDescent="0.25">
      <c r="A240" s="4" t="s">
        <v>13</v>
      </c>
      <c r="B240" s="4" t="s">
        <v>1050</v>
      </c>
      <c r="C240" s="4"/>
      <c r="D240" s="4"/>
      <c r="E240" s="4" t="s">
        <v>0</v>
      </c>
      <c r="F240" s="4" t="s">
        <v>0</v>
      </c>
      <c r="G240" s="4" t="s">
        <v>463</v>
      </c>
      <c r="H240" s="17">
        <v>1</v>
      </c>
      <c r="I240" s="4" t="s">
        <v>463</v>
      </c>
      <c r="J240" s="4"/>
      <c r="K240" s="4" t="s">
        <v>578</v>
      </c>
      <c r="L240" s="4"/>
      <c r="M240" s="4"/>
      <c r="N240" s="24">
        <v>24.725280000000001</v>
      </c>
      <c r="O240" s="24">
        <v>59.428260000000002</v>
      </c>
      <c r="P240" s="4" t="s">
        <v>233</v>
      </c>
      <c r="Q240" s="4" t="s">
        <v>1050</v>
      </c>
      <c r="R240" s="4"/>
      <c r="S240" s="4"/>
      <c r="T240" s="4" t="str">
        <f t="shared" si="6"/>
        <v>PMG - WALL -  - Kristiine viadukt, väike, kesklinna, (mõõt 5,39X2,09m)  - 1</v>
      </c>
      <c r="U240" s="4" t="str">
        <f t="shared" si="7"/>
        <v xml:space="preserve">PMG - WALL - Kristiine viadukt, väike, kesklinna, (mõõt 5,39X2,09m) </v>
      </c>
      <c r="V240" s="40">
        <v>44562</v>
      </c>
      <c r="W240" s="31"/>
    </row>
    <row r="241" spans="1:23" ht="15" x14ac:dyDescent="0.25">
      <c r="A241" s="4" t="s">
        <v>13</v>
      </c>
      <c r="B241" s="4" t="s">
        <v>1050</v>
      </c>
      <c r="C241" s="4"/>
      <c r="D241" s="4"/>
      <c r="E241" s="4" t="s">
        <v>0</v>
      </c>
      <c r="F241" s="4" t="s">
        <v>0</v>
      </c>
      <c r="G241" s="4" t="s">
        <v>464</v>
      </c>
      <c r="H241" s="17">
        <v>1</v>
      </c>
      <c r="I241" s="4" t="s">
        <v>464</v>
      </c>
      <c r="J241" s="4"/>
      <c r="K241" s="4" t="s">
        <v>579</v>
      </c>
      <c r="L241" s="4"/>
      <c r="M241" s="4"/>
      <c r="N241" s="24">
        <v>24.737337</v>
      </c>
      <c r="O241" s="24">
        <v>59.410212000000001</v>
      </c>
      <c r="P241" s="4" t="s">
        <v>234</v>
      </c>
      <c r="Q241" s="4" t="s">
        <v>1050</v>
      </c>
      <c r="R241" s="4"/>
      <c r="S241" s="4"/>
      <c r="T241" s="4" t="str">
        <f t="shared" si="6"/>
        <v>PMG - WALL -  - Pärnu mnt. 135 "Kalevi" peatus/suund kesklinna /tunnelitega, (mõõt 6X2,9m) - 1</v>
      </c>
      <c r="U241" s="4" t="str">
        <f t="shared" si="7"/>
        <v>PMG - WALL - Pärnu mnt. 135 "Kalevi" peatus/suund kesklinna /tunnelitega, (mõõt 6X2,9m)</v>
      </c>
      <c r="V241" s="40">
        <v>44562</v>
      </c>
      <c r="W241" s="31"/>
    </row>
    <row r="242" spans="1:23" ht="15" x14ac:dyDescent="0.25">
      <c r="A242" s="4" t="s">
        <v>13</v>
      </c>
      <c r="B242" s="4" t="s">
        <v>1050</v>
      </c>
      <c r="C242" s="4"/>
      <c r="D242" s="4"/>
      <c r="E242" s="4" t="s">
        <v>0</v>
      </c>
      <c r="F242" s="4" t="s">
        <v>0</v>
      </c>
      <c r="G242" s="4" t="s">
        <v>465</v>
      </c>
      <c r="H242" s="17">
        <v>1</v>
      </c>
      <c r="I242" s="4" t="s">
        <v>465</v>
      </c>
      <c r="J242" s="4"/>
      <c r="K242" s="4" t="s">
        <v>579</v>
      </c>
      <c r="L242" s="4"/>
      <c r="M242" s="4"/>
      <c r="N242" s="24">
        <v>24.737337</v>
      </c>
      <c r="O242" s="24">
        <v>59.410212000000001</v>
      </c>
      <c r="P242" s="4" t="s">
        <v>235</v>
      </c>
      <c r="Q242" s="4" t="s">
        <v>1050</v>
      </c>
      <c r="R242" s="4"/>
      <c r="S242" s="4"/>
      <c r="T242" s="4" t="str">
        <f t="shared" si="6"/>
        <v>PMG - WALL -  - Pärnu mnt. 135 "Kalevi" peatus/suund linnast välja, (mõõt 6X2,9m) - 1</v>
      </c>
      <c r="U242" s="4" t="str">
        <f t="shared" si="7"/>
        <v>PMG - WALL - Pärnu mnt. 135 "Kalevi" peatus/suund linnast välja, (mõõt 6X2,9m)</v>
      </c>
      <c r="V242" s="40">
        <v>44562</v>
      </c>
      <c r="W242" s="31"/>
    </row>
    <row r="243" spans="1:23" ht="15" x14ac:dyDescent="0.25">
      <c r="A243" s="4" t="s">
        <v>13</v>
      </c>
      <c r="B243" s="4" t="s">
        <v>1050</v>
      </c>
      <c r="C243" s="4"/>
      <c r="D243" s="4"/>
      <c r="E243" s="4" t="s">
        <v>0</v>
      </c>
      <c r="F243" s="4" t="s">
        <v>0</v>
      </c>
      <c r="G243" s="4" t="s">
        <v>466</v>
      </c>
      <c r="H243" s="17">
        <v>1</v>
      </c>
      <c r="I243" s="4" t="s">
        <v>466</v>
      </c>
      <c r="J243" s="4"/>
      <c r="K243" s="4" t="s">
        <v>579</v>
      </c>
      <c r="L243" s="4"/>
      <c r="M243" s="4"/>
      <c r="N243" s="24">
        <v>24.737337</v>
      </c>
      <c r="O243" s="24">
        <v>59.410212000000001</v>
      </c>
      <c r="P243" s="4" t="s">
        <v>236</v>
      </c>
      <c r="Q243" s="4" t="s">
        <v>1050</v>
      </c>
      <c r="R243" s="4"/>
      <c r="S243" s="4"/>
      <c r="T243" s="4" t="str">
        <f t="shared" si="6"/>
        <v>PMG - WALL -  - Pärnu mnt. 137 "Kalevi" peatus/suund kesklinna /tunnelitega, (mõõt 6X2,9m) - 1</v>
      </c>
      <c r="U243" s="4" t="str">
        <f t="shared" si="7"/>
        <v>PMG - WALL - Pärnu mnt. 137 "Kalevi" peatus/suund kesklinna /tunnelitega, (mõõt 6X2,9m)</v>
      </c>
      <c r="V243" s="40">
        <v>44562</v>
      </c>
      <c r="W243" s="31"/>
    </row>
    <row r="244" spans="1:23" ht="15" x14ac:dyDescent="0.25">
      <c r="A244" s="4" t="s">
        <v>13</v>
      </c>
      <c r="B244" s="4" t="s">
        <v>1050</v>
      </c>
      <c r="C244" s="4"/>
      <c r="D244" s="4"/>
      <c r="E244" s="4" t="s">
        <v>0</v>
      </c>
      <c r="F244" s="4" t="s">
        <v>0</v>
      </c>
      <c r="G244" s="4" t="s">
        <v>467</v>
      </c>
      <c r="H244" s="17">
        <v>1</v>
      </c>
      <c r="I244" s="4" t="s">
        <v>467</v>
      </c>
      <c r="J244" s="4"/>
      <c r="K244" s="4" t="s">
        <v>579</v>
      </c>
      <c r="L244" s="4"/>
      <c r="M244" s="4"/>
      <c r="N244" s="24">
        <v>24.737337</v>
      </c>
      <c r="O244" s="24">
        <v>59.410212000000001</v>
      </c>
      <c r="P244" s="4" t="s">
        <v>237</v>
      </c>
      <c r="Q244" s="4" t="s">
        <v>1050</v>
      </c>
      <c r="R244" s="4"/>
      <c r="S244" s="4"/>
      <c r="T244" s="4" t="str">
        <f t="shared" si="6"/>
        <v>PMG - WALL -  - Pärnu mnt. 137 "Kalevi" peatus/suund linnast välja, (mõõt 6X2,9m) - 1</v>
      </c>
      <c r="U244" s="4" t="str">
        <f t="shared" si="7"/>
        <v>PMG - WALL - Pärnu mnt. 137 "Kalevi" peatus/suund linnast välja, (mõõt 6X2,9m)</v>
      </c>
      <c r="V244" s="40">
        <v>44562</v>
      </c>
      <c r="W244" s="31"/>
    </row>
    <row r="245" spans="1:23" ht="15" x14ac:dyDescent="0.25">
      <c r="A245" s="4" t="s">
        <v>13</v>
      </c>
      <c r="B245" s="4" t="s">
        <v>12</v>
      </c>
      <c r="C245" s="4"/>
      <c r="D245" s="4"/>
      <c r="E245" s="4" t="s">
        <v>776</v>
      </c>
      <c r="F245" s="4" t="s">
        <v>777</v>
      </c>
      <c r="G245" s="4" t="s">
        <v>596</v>
      </c>
      <c r="H245" s="18">
        <v>1</v>
      </c>
      <c r="I245" s="4" t="s">
        <v>596</v>
      </c>
      <c r="J245" s="4"/>
      <c r="K245" s="4" t="s">
        <v>665</v>
      </c>
      <c r="L245" s="4"/>
      <c r="M245" s="4"/>
      <c r="N245" s="24">
        <v>26.714489</v>
      </c>
      <c r="O245" s="24">
        <v>58.345562999999999</v>
      </c>
      <c r="P245" s="4" t="s">
        <v>709</v>
      </c>
      <c r="Q245" s="4" t="s">
        <v>12</v>
      </c>
      <c r="R245" s="4"/>
      <c r="S245" s="4"/>
      <c r="T245" s="4" t="str">
        <f t="shared" si="6"/>
        <v>PMG - BB -  - Võru ja Ringtee ristis, suund ringteele. TARTU - 1</v>
      </c>
      <c r="U245" s="4" t="str">
        <f t="shared" si="7"/>
        <v>PMG - BB - Võru ja Ringtee ristis, suund ringteele. TARTU</v>
      </c>
      <c r="V245" s="40">
        <v>44562</v>
      </c>
      <c r="W245" s="31"/>
    </row>
    <row r="246" spans="1:23" ht="15" x14ac:dyDescent="0.25">
      <c r="A246" s="4" t="s">
        <v>13</v>
      </c>
      <c r="B246" s="4" t="s">
        <v>12</v>
      </c>
      <c r="C246" s="4"/>
      <c r="D246" s="4"/>
      <c r="E246" s="4" t="s">
        <v>776</v>
      </c>
      <c r="F246" s="4" t="s">
        <v>777</v>
      </c>
      <c r="G246" s="4" t="s">
        <v>597</v>
      </c>
      <c r="H246" s="18">
        <v>1</v>
      </c>
      <c r="I246" s="4" t="s">
        <v>597</v>
      </c>
      <c r="J246" s="4"/>
      <c r="K246" s="4" t="s">
        <v>665</v>
      </c>
      <c r="L246" s="4"/>
      <c r="M246" s="4"/>
      <c r="N246" s="24">
        <v>26.714489</v>
      </c>
      <c r="O246" s="24">
        <v>58.345562999999999</v>
      </c>
      <c r="P246" s="4" t="s">
        <v>710</v>
      </c>
      <c r="Q246" s="4" t="s">
        <v>12</v>
      </c>
      <c r="R246" s="4"/>
      <c r="S246" s="4"/>
      <c r="T246" s="4" t="str">
        <f t="shared" si="6"/>
        <v>PMG - BB -  - Võru ja Ringtee ristis, suund kesklinna. TARTU   - 1</v>
      </c>
      <c r="U246" s="4" t="str">
        <f t="shared" si="7"/>
        <v xml:space="preserve">PMG - BB - Võru ja Ringtee ristis, suund kesklinna. TARTU  </v>
      </c>
      <c r="V246" s="40">
        <v>44562</v>
      </c>
      <c r="W246" s="31"/>
    </row>
    <row r="247" spans="1:23" ht="15" x14ac:dyDescent="0.25">
      <c r="A247" s="4" t="s">
        <v>13</v>
      </c>
      <c r="B247" s="4" t="s">
        <v>12</v>
      </c>
      <c r="C247" s="4"/>
      <c r="D247" s="4"/>
      <c r="E247" s="4" t="s">
        <v>776</v>
      </c>
      <c r="F247" s="4" t="s">
        <v>777</v>
      </c>
      <c r="G247" s="4" t="s">
        <v>598</v>
      </c>
      <c r="H247" s="18">
        <v>1</v>
      </c>
      <c r="I247" s="4" t="s">
        <v>598</v>
      </c>
      <c r="J247" s="4"/>
      <c r="K247" s="4" t="s">
        <v>666</v>
      </c>
      <c r="L247" s="4"/>
      <c r="M247" s="4"/>
      <c r="N247" s="24">
        <v>26.733505999999998</v>
      </c>
      <c r="O247" s="24">
        <v>58.342697000000001</v>
      </c>
      <c r="P247" s="4" t="s">
        <v>711</v>
      </c>
      <c r="Q247" s="4" t="s">
        <v>12</v>
      </c>
      <c r="R247" s="4"/>
      <c r="S247" s="4"/>
      <c r="T247" s="4" t="str">
        <f t="shared" si="6"/>
        <v>PMG - BB -  - Ringtee 39, suund kesklinna. TARTU  - 1</v>
      </c>
      <c r="U247" s="4" t="str">
        <f t="shared" si="7"/>
        <v xml:space="preserve">PMG - BB - Ringtee 39, suund kesklinna. TARTU </v>
      </c>
      <c r="V247" s="40">
        <v>44562</v>
      </c>
      <c r="W247" s="31"/>
    </row>
    <row r="248" spans="1:23" ht="15" x14ac:dyDescent="0.25">
      <c r="A248" s="4" t="s">
        <v>13</v>
      </c>
      <c r="B248" s="4" t="s">
        <v>12</v>
      </c>
      <c r="C248" s="4"/>
      <c r="D248" s="4"/>
      <c r="E248" s="4" t="s">
        <v>776</v>
      </c>
      <c r="F248" s="4" t="s">
        <v>777</v>
      </c>
      <c r="G248" s="4" t="s">
        <v>599</v>
      </c>
      <c r="H248" s="18">
        <v>1</v>
      </c>
      <c r="I248" s="4" t="s">
        <v>599</v>
      </c>
      <c r="J248" s="4"/>
      <c r="K248" s="4" t="s">
        <v>666</v>
      </c>
      <c r="L248" s="4"/>
      <c r="M248" s="4"/>
      <c r="N248" s="24">
        <v>26.733505999999998</v>
      </c>
      <c r="O248" s="24">
        <v>58.342697000000001</v>
      </c>
      <c r="P248" s="4" t="s">
        <v>712</v>
      </c>
      <c r="Q248" s="4" t="s">
        <v>12</v>
      </c>
      <c r="R248" s="4"/>
      <c r="S248" s="4"/>
      <c r="T248" s="4" t="str">
        <f t="shared" si="6"/>
        <v>PMG - BB -  - Ringtee 39, suund Lõunakeskusesse. TARTU  - 1</v>
      </c>
      <c r="U248" s="4" t="str">
        <f t="shared" si="7"/>
        <v xml:space="preserve">PMG - BB - Ringtee 39, suund Lõunakeskusesse. TARTU </v>
      </c>
      <c r="V248" s="40">
        <v>44562</v>
      </c>
      <c r="W248" s="31"/>
    </row>
    <row r="249" spans="1:23" ht="15" x14ac:dyDescent="0.25">
      <c r="A249" s="4" t="s">
        <v>13</v>
      </c>
      <c r="B249" s="4" t="s">
        <v>12</v>
      </c>
      <c r="C249" s="4"/>
      <c r="D249" s="4"/>
      <c r="E249" s="4" t="s">
        <v>776</v>
      </c>
      <c r="F249" s="4" t="s">
        <v>777</v>
      </c>
      <c r="G249" s="4" t="s">
        <v>600</v>
      </c>
      <c r="H249" s="18">
        <v>1</v>
      </c>
      <c r="I249" s="4" t="s">
        <v>600</v>
      </c>
      <c r="J249" s="4"/>
      <c r="K249" s="4" t="s">
        <v>667</v>
      </c>
      <c r="L249" s="4"/>
      <c r="M249" s="4"/>
      <c r="N249" s="24">
        <v>26.765954000000001</v>
      </c>
      <c r="O249" s="24">
        <v>58.379824999999997</v>
      </c>
      <c r="P249" s="4" t="s">
        <v>713</v>
      </c>
      <c r="Q249" s="4" t="s">
        <v>12</v>
      </c>
      <c r="R249" s="4"/>
      <c r="S249" s="4"/>
      <c r="T249" s="4" t="str">
        <f t="shared" si="6"/>
        <v>PMG - BB -  - Jaama tn. 173 "Kivilinna Konsum" ees, suund kesklinnast. TARTU  - 1</v>
      </c>
      <c r="U249" s="4" t="str">
        <f t="shared" si="7"/>
        <v xml:space="preserve">PMG - BB - Jaama tn. 173 "Kivilinna Konsum" ees, suund kesklinnast. TARTU </v>
      </c>
      <c r="V249" s="40">
        <v>44562</v>
      </c>
      <c r="W249" s="31"/>
    </row>
    <row r="250" spans="1:23" ht="15" x14ac:dyDescent="0.25">
      <c r="A250" s="4" t="s">
        <v>13</v>
      </c>
      <c r="B250" s="4" t="s">
        <v>12</v>
      </c>
      <c r="C250" s="4"/>
      <c r="D250" s="4"/>
      <c r="E250" s="4" t="s">
        <v>776</v>
      </c>
      <c r="F250" s="4" t="s">
        <v>777</v>
      </c>
      <c r="G250" s="4" t="s">
        <v>601</v>
      </c>
      <c r="H250" s="18">
        <v>1</v>
      </c>
      <c r="I250" s="4" t="s">
        <v>601</v>
      </c>
      <c r="J250" s="4"/>
      <c r="K250" s="4" t="s">
        <v>667</v>
      </c>
      <c r="L250" s="4"/>
      <c r="M250" s="4"/>
      <c r="N250" s="24">
        <v>26.765954000000001</v>
      </c>
      <c r="O250" s="24">
        <v>58.379824999999997</v>
      </c>
      <c r="P250" s="4" t="s">
        <v>714</v>
      </c>
      <c r="Q250" s="4" t="s">
        <v>12</v>
      </c>
      <c r="R250" s="4"/>
      <c r="S250" s="4"/>
      <c r="T250" s="4" t="str">
        <f t="shared" si="6"/>
        <v>PMG - BB -  - Jaama tn.173 "Kivilinna Konsum" ees, suund kesklinna. TARTU - 1</v>
      </c>
      <c r="U250" s="4" t="str">
        <f t="shared" si="7"/>
        <v>PMG - BB - Jaama tn.173 "Kivilinna Konsum" ees, suund kesklinna. TARTU</v>
      </c>
      <c r="V250" s="40">
        <v>44562</v>
      </c>
      <c r="W250" s="31"/>
    </row>
    <row r="251" spans="1:23" ht="15" x14ac:dyDescent="0.25">
      <c r="A251" s="4" t="s">
        <v>13</v>
      </c>
      <c r="B251" s="4" t="s">
        <v>12</v>
      </c>
      <c r="C251" s="4"/>
      <c r="D251" s="4"/>
      <c r="E251" s="4" t="s">
        <v>776</v>
      </c>
      <c r="F251" s="4" t="s">
        <v>777</v>
      </c>
      <c r="G251" s="4" t="s">
        <v>602</v>
      </c>
      <c r="H251" s="18">
        <v>1</v>
      </c>
      <c r="I251" s="4" t="s">
        <v>602</v>
      </c>
      <c r="J251" s="4"/>
      <c r="K251" s="4" t="s">
        <v>668</v>
      </c>
      <c r="L251" s="4"/>
      <c r="M251" s="4"/>
      <c r="N251" s="24">
        <v>26.757173999999999</v>
      </c>
      <c r="O251" s="24">
        <v>58.372320000000002</v>
      </c>
      <c r="P251" s="4" t="s">
        <v>715</v>
      </c>
      <c r="Q251" s="4" t="s">
        <v>12</v>
      </c>
      <c r="R251" s="4"/>
      <c r="S251" s="4"/>
      <c r="T251" s="4" t="str">
        <f t="shared" si="6"/>
        <v>PMG - BB -  - Kalda tee 5 parkla suund Anne Selver, kesklinna. TARTU   - 1</v>
      </c>
      <c r="U251" s="4" t="str">
        <f t="shared" si="7"/>
        <v xml:space="preserve">PMG - BB - Kalda tee 5 parkla suund Anne Selver, kesklinna. TARTU  </v>
      </c>
      <c r="V251" s="40">
        <v>44562</v>
      </c>
      <c r="W251" s="31"/>
    </row>
    <row r="252" spans="1:23" ht="15" x14ac:dyDescent="0.25">
      <c r="A252" s="4" t="s">
        <v>13</v>
      </c>
      <c r="B252" s="4" t="s">
        <v>12</v>
      </c>
      <c r="C252" s="4"/>
      <c r="D252" s="4"/>
      <c r="E252" s="4" t="s">
        <v>776</v>
      </c>
      <c r="F252" s="4" t="s">
        <v>777</v>
      </c>
      <c r="G252" s="4" t="s">
        <v>603</v>
      </c>
      <c r="H252" s="18">
        <v>1</v>
      </c>
      <c r="I252" s="4" t="s">
        <v>603</v>
      </c>
      <c r="J252" s="4"/>
      <c r="K252" s="4" t="s">
        <v>668</v>
      </c>
      <c r="L252" s="4"/>
      <c r="M252" s="4"/>
      <c r="N252" s="24">
        <v>26.757173999999999</v>
      </c>
      <c r="O252" s="24">
        <v>58.372320000000002</v>
      </c>
      <c r="P252" s="4" t="s">
        <v>716</v>
      </c>
      <c r="Q252" s="4" t="s">
        <v>12</v>
      </c>
      <c r="R252" s="4"/>
      <c r="S252" s="4"/>
      <c r="T252" s="4" t="str">
        <f t="shared" si="6"/>
        <v>PMG - BB -  - Kalda tee 5 parkla suund Ehituse ABC. TARTU - 1</v>
      </c>
      <c r="U252" s="4" t="str">
        <f t="shared" si="7"/>
        <v>PMG - BB - Kalda tee 5 parkla suund Ehituse ABC. TARTU</v>
      </c>
      <c r="V252" s="40">
        <v>44562</v>
      </c>
      <c r="W252" s="31"/>
    </row>
    <row r="253" spans="1:23" ht="15" x14ac:dyDescent="0.25">
      <c r="A253" s="4" t="s">
        <v>13</v>
      </c>
      <c r="B253" s="4" t="s">
        <v>12</v>
      </c>
      <c r="C253" s="4"/>
      <c r="D253" s="4"/>
      <c r="E253" s="4" t="s">
        <v>776</v>
      </c>
      <c r="F253" s="4" t="s">
        <v>777</v>
      </c>
      <c r="G253" s="4" t="s">
        <v>604</v>
      </c>
      <c r="H253" s="18">
        <v>1</v>
      </c>
      <c r="I253" s="4" t="s">
        <v>604</v>
      </c>
      <c r="J253" s="4"/>
      <c r="K253" s="4" t="s">
        <v>669</v>
      </c>
      <c r="L253" s="4"/>
      <c r="M253" s="4"/>
      <c r="N253" s="24">
        <v>26.74005</v>
      </c>
      <c r="O253" s="24">
        <v>58.363397999999997</v>
      </c>
      <c r="P253" s="4" t="s">
        <v>717</v>
      </c>
      <c r="Q253" s="4" t="s">
        <v>12</v>
      </c>
      <c r="R253" s="4"/>
      <c r="S253" s="4"/>
      <c r="T253" s="4" t="str">
        <f t="shared" si="6"/>
        <v>PMG - BB -  - Turu-Saekoja( Vase 5 ees), suund kesklinnast. TARTU   - 1</v>
      </c>
      <c r="U253" s="4" t="str">
        <f t="shared" si="7"/>
        <v xml:space="preserve">PMG - BB - Turu-Saekoja( Vase 5 ees), suund kesklinnast. TARTU  </v>
      </c>
      <c r="V253" s="40">
        <v>44562</v>
      </c>
      <c r="W253" s="31"/>
    </row>
    <row r="254" spans="1:23" ht="15" x14ac:dyDescent="0.25">
      <c r="A254" s="4" t="s">
        <v>13</v>
      </c>
      <c r="B254" s="4" t="s">
        <v>12</v>
      </c>
      <c r="C254" s="4"/>
      <c r="D254" s="4"/>
      <c r="E254" s="4" t="s">
        <v>776</v>
      </c>
      <c r="F254" s="4" t="s">
        <v>777</v>
      </c>
      <c r="G254" s="4" t="s">
        <v>605</v>
      </c>
      <c r="H254" s="18">
        <v>1</v>
      </c>
      <c r="I254" s="4" t="s">
        <v>605</v>
      </c>
      <c r="J254" s="4"/>
      <c r="K254" s="4" t="s">
        <v>669</v>
      </c>
      <c r="L254" s="4"/>
      <c r="M254" s="4"/>
      <c r="N254" s="24">
        <v>26.74005</v>
      </c>
      <c r="O254" s="24">
        <v>58.363397999999997</v>
      </c>
      <c r="P254" s="4" t="s">
        <v>718</v>
      </c>
      <c r="Q254" s="4" t="s">
        <v>12</v>
      </c>
      <c r="R254" s="4"/>
      <c r="S254" s="4"/>
      <c r="T254" s="4" t="str">
        <f t="shared" si="6"/>
        <v>PMG - BB -  - Turu-Saekoja( Vase 5 ees), suund kesklinna. TARTU   - 1</v>
      </c>
      <c r="U254" s="4" t="str">
        <f t="shared" si="7"/>
        <v xml:space="preserve">PMG - BB - Turu-Saekoja( Vase 5 ees), suund kesklinna. TARTU  </v>
      </c>
      <c r="V254" s="40">
        <v>44562</v>
      </c>
      <c r="W254" s="31"/>
    </row>
    <row r="255" spans="1:23" ht="15" x14ac:dyDescent="0.25">
      <c r="A255" s="4" t="s">
        <v>13</v>
      </c>
      <c r="B255" s="4" t="s">
        <v>12</v>
      </c>
      <c r="C255" s="4"/>
      <c r="D255" s="4"/>
      <c r="E255" s="4" t="s">
        <v>776</v>
      </c>
      <c r="F255" s="4" t="s">
        <v>777</v>
      </c>
      <c r="G255" s="4" t="s">
        <v>606</v>
      </c>
      <c r="H255" s="18">
        <v>1</v>
      </c>
      <c r="I255" s="4" t="s">
        <v>606</v>
      </c>
      <c r="J255" s="4"/>
      <c r="K255" s="4" t="s">
        <v>670</v>
      </c>
      <c r="L255" s="4"/>
      <c r="M255" s="4"/>
      <c r="N255" s="24">
        <v>26.710412000000002</v>
      </c>
      <c r="O255" s="24">
        <v>58.354925999999999</v>
      </c>
      <c r="P255" s="4" t="s">
        <v>719</v>
      </c>
      <c r="Q255" s="4" t="s">
        <v>12</v>
      </c>
      <c r="R255" s="4"/>
      <c r="S255" s="4"/>
      <c r="T255" s="4" t="str">
        <f t="shared" si="6"/>
        <v>PMG - BB -  - Aardla-Roopa  (suund "Lõunakeskusesse"), TARTU. - 1</v>
      </c>
      <c r="U255" s="4" t="str">
        <f t="shared" si="7"/>
        <v>PMG - BB - Aardla-Roopa  (suund "Lõunakeskusesse"), TARTU.</v>
      </c>
      <c r="V255" s="40">
        <v>44562</v>
      </c>
      <c r="W255" s="31"/>
    </row>
    <row r="256" spans="1:23" ht="15" x14ac:dyDescent="0.25">
      <c r="A256" s="4" t="s">
        <v>13</v>
      </c>
      <c r="B256" s="4" t="s">
        <v>12</v>
      </c>
      <c r="C256" s="4"/>
      <c r="D256" s="4"/>
      <c r="E256" s="4" t="s">
        <v>776</v>
      </c>
      <c r="F256" s="4" t="s">
        <v>777</v>
      </c>
      <c r="G256" s="4" t="s">
        <v>607</v>
      </c>
      <c r="H256" s="18">
        <v>1</v>
      </c>
      <c r="I256" s="4" t="s">
        <v>607</v>
      </c>
      <c r="J256" s="4"/>
      <c r="K256" s="4" t="s">
        <v>670</v>
      </c>
      <c r="L256" s="4"/>
      <c r="M256" s="4"/>
      <c r="N256" s="24">
        <v>26.710412000000002</v>
      </c>
      <c r="O256" s="24">
        <v>58.354925999999999</v>
      </c>
      <c r="P256" s="4" t="s">
        <v>720</v>
      </c>
      <c r="Q256" s="4" t="s">
        <v>12</v>
      </c>
      <c r="R256" s="4"/>
      <c r="S256" s="4"/>
      <c r="T256" s="4" t="str">
        <f t="shared" si="6"/>
        <v>PMG - BB -  - Aardla-Roopa, suund kesklinna. TARTU   - 1</v>
      </c>
      <c r="U256" s="4" t="str">
        <f t="shared" si="7"/>
        <v xml:space="preserve">PMG - BB - Aardla-Roopa, suund kesklinna. TARTU  </v>
      </c>
      <c r="V256" s="40">
        <v>44562</v>
      </c>
      <c r="W256" s="31"/>
    </row>
    <row r="257" spans="1:23" ht="15" x14ac:dyDescent="0.25">
      <c r="A257" s="4" t="s">
        <v>13</v>
      </c>
      <c r="B257" s="4" t="s">
        <v>12</v>
      </c>
      <c r="C257" s="4"/>
      <c r="D257" s="4"/>
      <c r="E257" s="4" t="s">
        <v>776</v>
      </c>
      <c r="F257" s="4" t="s">
        <v>777</v>
      </c>
      <c r="G257" s="4" t="s">
        <v>608</v>
      </c>
      <c r="H257" s="18">
        <v>1</v>
      </c>
      <c r="I257" s="4" t="s">
        <v>608</v>
      </c>
      <c r="J257" s="4"/>
      <c r="K257" s="4" t="s">
        <v>671</v>
      </c>
      <c r="L257" s="4"/>
      <c r="M257" s="4"/>
      <c r="N257" s="24">
        <v>26.679991000000001</v>
      </c>
      <c r="O257" s="24">
        <v>58.357877000000002</v>
      </c>
      <c r="P257" s="4" t="s">
        <v>721</v>
      </c>
      <c r="Q257" s="4" t="s">
        <v>12</v>
      </c>
      <c r="R257" s="4"/>
      <c r="S257" s="4"/>
      <c r="T257" s="4" t="str">
        <f t="shared" si="6"/>
        <v>PMG - BB -  - Ringtee 75B, Lõunakeskus 1 Lõunakeskuse poolt (öösid/30cm/tugevdatud). TARTU. - 1</v>
      </c>
      <c r="U257" s="4" t="str">
        <f t="shared" si="7"/>
        <v>PMG - BB - Ringtee 75B, Lõunakeskus 1 Lõunakeskuse poolt (öösid/30cm/tugevdatud). TARTU.</v>
      </c>
      <c r="V257" s="40">
        <v>44562</v>
      </c>
      <c r="W257" s="31"/>
    </row>
    <row r="258" spans="1:23" ht="15" x14ac:dyDescent="0.25">
      <c r="A258" s="4" t="s">
        <v>13</v>
      </c>
      <c r="B258" s="4" t="s">
        <v>12</v>
      </c>
      <c r="C258" s="4"/>
      <c r="D258" s="4"/>
      <c r="E258" s="4" t="s">
        <v>776</v>
      </c>
      <c r="F258" s="4" t="s">
        <v>777</v>
      </c>
      <c r="G258" s="4" t="s">
        <v>609</v>
      </c>
      <c r="H258" s="18">
        <v>1</v>
      </c>
      <c r="I258" s="4" t="s">
        <v>609</v>
      </c>
      <c r="J258" s="4"/>
      <c r="K258" s="4" t="s">
        <v>672</v>
      </c>
      <c r="L258" s="4"/>
      <c r="M258" s="4"/>
      <c r="N258" s="24">
        <v>26.714089000000001</v>
      </c>
      <c r="O258" s="24">
        <v>58.342461999999998</v>
      </c>
      <c r="P258" s="4" t="s">
        <v>722</v>
      </c>
      <c r="Q258" s="4" t="s">
        <v>12</v>
      </c>
      <c r="R258" s="4"/>
      <c r="S258" s="4"/>
      <c r="T258" s="4" t="str">
        <f t="shared" si="6"/>
        <v>PMG - BB -  - Tartu- Võru tn.171 Tartu pool (valgustamata),  öösitatud, suund Tartust. - 1</v>
      </c>
      <c r="U258" s="4" t="str">
        <f t="shared" si="7"/>
        <v>PMG - BB - Tartu- Võru tn.171 Tartu pool (valgustamata),  öösitatud, suund Tartust.</v>
      </c>
      <c r="V258" s="40">
        <v>44562</v>
      </c>
      <c r="W258" s="31"/>
    </row>
    <row r="259" spans="1:23" ht="15" x14ac:dyDescent="0.25">
      <c r="A259" s="4" t="s">
        <v>13</v>
      </c>
      <c r="B259" s="4" t="s">
        <v>12</v>
      </c>
      <c r="C259" s="4"/>
      <c r="D259" s="4"/>
      <c r="E259" s="4" t="s">
        <v>776</v>
      </c>
      <c r="F259" s="4" t="s">
        <v>777</v>
      </c>
      <c r="G259" s="4" t="s">
        <v>610</v>
      </c>
      <c r="H259" s="18">
        <v>1</v>
      </c>
      <c r="I259" s="4" t="s">
        <v>610</v>
      </c>
      <c r="J259" s="4"/>
      <c r="K259" s="4" t="s">
        <v>672</v>
      </c>
      <c r="L259" s="4"/>
      <c r="M259" s="4"/>
      <c r="N259" s="24">
        <v>26.714089000000001</v>
      </c>
      <c r="O259" s="24">
        <v>58.342461999999998</v>
      </c>
      <c r="P259" s="4" t="s">
        <v>723</v>
      </c>
      <c r="Q259" s="4" t="s">
        <v>12</v>
      </c>
      <c r="R259" s="4"/>
      <c r="S259" s="4"/>
      <c r="T259" s="4" t="str">
        <f t="shared" ref="T259:T322" si="8">CONCATENATE(A259," - ",B259," - ",C259," - ",G259," - ",H259)</f>
        <v>PMG - BB -  - Tartu-Võru tn.171 Võru pool (valgustamata), öösitatud,suund Võrust. - 1</v>
      </c>
      <c r="U259" s="4" t="str">
        <f t="shared" ref="U259:U322" si="9">CONCATENATE(A259," - ",B259," - ",G259,)</f>
        <v>PMG - BB - Tartu-Võru tn.171 Võru pool (valgustamata), öösitatud,suund Võrust.</v>
      </c>
      <c r="V259" s="40">
        <v>44562</v>
      </c>
      <c r="W259" s="31"/>
    </row>
    <row r="260" spans="1:23" ht="15" x14ac:dyDescent="0.25">
      <c r="A260" s="4" t="s">
        <v>13</v>
      </c>
      <c r="B260" s="4" t="s">
        <v>12</v>
      </c>
      <c r="C260" s="4"/>
      <c r="D260" s="4"/>
      <c r="E260" s="4" t="s">
        <v>611</v>
      </c>
      <c r="F260" s="4" t="s">
        <v>611</v>
      </c>
      <c r="G260" s="4" t="s">
        <v>612</v>
      </c>
      <c r="H260" s="18">
        <v>1</v>
      </c>
      <c r="I260" s="4" t="s">
        <v>612</v>
      </c>
      <c r="J260" s="4"/>
      <c r="K260" s="4" t="s">
        <v>673</v>
      </c>
      <c r="L260" s="4"/>
      <c r="M260" s="4"/>
      <c r="N260" s="24">
        <v>24.550203</v>
      </c>
      <c r="O260" s="24">
        <v>58.371544999999998</v>
      </c>
      <c r="P260" s="4" t="s">
        <v>724</v>
      </c>
      <c r="Q260" s="4" t="s">
        <v>12</v>
      </c>
      <c r="R260" s="4"/>
      <c r="S260" s="4"/>
      <c r="T260" s="4" t="str">
        <f t="shared" si="8"/>
        <v>PMG - BB -  - Papiniidu 4- Kaubamajaka/Riia mnt. poolt (öösidega 30cm, tugevdatud ääred). PÄRNU - 1</v>
      </c>
      <c r="U260" s="4" t="str">
        <f t="shared" si="9"/>
        <v>PMG - BB - Papiniidu 4- Kaubamajaka/Riia mnt. poolt (öösidega 30cm, tugevdatud ääred). PÄRNU</v>
      </c>
      <c r="V260" s="40">
        <v>44562</v>
      </c>
      <c r="W260" s="31"/>
    </row>
    <row r="261" spans="1:23" ht="15" x14ac:dyDescent="0.25">
      <c r="A261" s="4" t="s">
        <v>13</v>
      </c>
      <c r="B261" s="4" t="s">
        <v>12</v>
      </c>
      <c r="C261" s="4"/>
      <c r="D261" s="4"/>
      <c r="E261" s="4" t="s">
        <v>611</v>
      </c>
      <c r="F261" s="4" t="s">
        <v>611</v>
      </c>
      <c r="G261" s="4" t="s">
        <v>613</v>
      </c>
      <c r="H261" s="18">
        <v>1</v>
      </c>
      <c r="I261" s="4" t="s">
        <v>613</v>
      </c>
      <c r="J261" s="4"/>
      <c r="K261" s="4" t="s">
        <v>673</v>
      </c>
      <c r="L261" s="4"/>
      <c r="M261" s="4"/>
      <c r="N261" s="24">
        <v>24.550203</v>
      </c>
      <c r="O261" s="24">
        <v>58.371544999999998</v>
      </c>
      <c r="P261" s="4" t="s">
        <v>725</v>
      </c>
      <c r="Q261" s="4" t="s">
        <v>12</v>
      </c>
      <c r="R261" s="4"/>
      <c r="S261" s="4"/>
      <c r="T261" s="4" t="str">
        <f t="shared" si="8"/>
        <v>PMG - BB -  - Papiniidu 4,-Kaubamajas, Silla poolt tulles.PÄRNU - 1</v>
      </c>
      <c r="U261" s="4" t="str">
        <f t="shared" si="9"/>
        <v>PMG - BB - Papiniidu 4,-Kaubamajas, Silla poolt tulles.PÄRNU</v>
      </c>
      <c r="V261" s="40">
        <v>44562</v>
      </c>
      <c r="W261" s="31"/>
    </row>
    <row r="262" spans="1:23" ht="15" x14ac:dyDescent="0.25">
      <c r="A262" s="4" t="s">
        <v>13</v>
      </c>
      <c r="B262" s="4" t="s">
        <v>12</v>
      </c>
      <c r="C262" s="4"/>
      <c r="D262" s="4"/>
      <c r="E262" s="4" t="s">
        <v>614</v>
      </c>
      <c r="F262" s="4" t="s">
        <v>614</v>
      </c>
      <c r="G262" s="4" t="s">
        <v>615</v>
      </c>
      <c r="H262" s="18">
        <v>1</v>
      </c>
      <c r="I262" s="4" t="s">
        <v>615</v>
      </c>
      <c r="J262" s="4"/>
      <c r="K262" s="4" t="s">
        <v>674</v>
      </c>
      <c r="L262" s="4"/>
      <c r="M262" s="4"/>
      <c r="N262" s="24">
        <v>28.162458000000001</v>
      </c>
      <c r="O262" s="24">
        <v>59.383240000000001</v>
      </c>
      <c r="P262" s="4" t="s">
        <v>726</v>
      </c>
      <c r="Q262" s="4" t="s">
        <v>12</v>
      </c>
      <c r="R262" s="4"/>
      <c r="S262" s="4"/>
      <c r="T262" s="4" t="str">
        <f t="shared" si="8"/>
        <v>PMG - BB -  - Tallinna mnt. ja Rahu tn. Ristmik-suund kesklinna. NARVA - 1</v>
      </c>
      <c r="U262" s="4" t="str">
        <f t="shared" si="9"/>
        <v>PMG - BB - Tallinna mnt. ja Rahu tn. Ristmik-suund kesklinna. NARVA</v>
      </c>
      <c r="V262" s="40">
        <v>44562</v>
      </c>
      <c r="W262" s="31"/>
    </row>
    <row r="263" spans="1:23" ht="15" x14ac:dyDescent="0.25">
      <c r="A263" s="4" t="s">
        <v>13</v>
      </c>
      <c r="B263" s="4" t="s">
        <v>12</v>
      </c>
      <c r="C263" s="4"/>
      <c r="D263" s="4"/>
      <c r="E263" s="4" t="s">
        <v>614</v>
      </c>
      <c r="F263" s="4" t="s">
        <v>614</v>
      </c>
      <c r="G263" s="4" t="s">
        <v>616</v>
      </c>
      <c r="H263" s="18">
        <v>1</v>
      </c>
      <c r="I263" s="4" t="s">
        <v>616</v>
      </c>
      <c r="J263" s="4"/>
      <c r="K263" s="4" t="s">
        <v>674</v>
      </c>
      <c r="L263" s="4"/>
      <c r="M263" s="4"/>
      <c r="N263" s="24">
        <v>28.162458000000001</v>
      </c>
      <c r="O263" s="24">
        <v>59.383240000000001</v>
      </c>
      <c r="P263" s="4" t="s">
        <v>727</v>
      </c>
      <c r="Q263" s="4" t="s">
        <v>12</v>
      </c>
      <c r="R263" s="4"/>
      <c r="S263" s="4"/>
      <c r="T263" s="4" t="str">
        <f t="shared" si="8"/>
        <v>PMG - BB -  - Tallinna mnt. ja Rahu tn. Ristmik-suund kesklinnast. NARVA - 1</v>
      </c>
      <c r="U263" s="4" t="str">
        <f t="shared" si="9"/>
        <v>PMG - BB - Tallinna mnt. ja Rahu tn. Ristmik-suund kesklinnast. NARVA</v>
      </c>
      <c r="V263" s="40">
        <v>44562</v>
      </c>
      <c r="W263" s="31"/>
    </row>
    <row r="264" spans="1:23" ht="15" x14ac:dyDescent="0.25">
      <c r="A264" s="4" t="s">
        <v>13</v>
      </c>
      <c r="B264" s="4" t="s">
        <v>12</v>
      </c>
      <c r="C264" s="4"/>
      <c r="D264" s="4"/>
      <c r="E264" s="4" t="s">
        <v>1051</v>
      </c>
      <c r="F264" s="4" t="s">
        <v>617</v>
      </c>
      <c r="G264" s="4" t="s">
        <v>618</v>
      </c>
      <c r="H264" s="18">
        <v>1</v>
      </c>
      <c r="I264" s="4" t="s">
        <v>618</v>
      </c>
      <c r="J264" s="4"/>
      <c r="K264" s="4" t="s">
        <v>675</v>
      </c>
      <c r="L264" s="4"/>
      <c r="M264" s="4"/>
      <c r="N264" s="24">
        <v>25.762889999999999</v>
      </c>
      <c r="O264" s="24">
        <v>58.747599999999998</v>
      </c>
      <c r="P264" s="4" t="s">
        <v>728</v>
      </c>
      <c r="Q264" s="4" t="s">
        <v>12</v>
      </c>
      <c r="R264" s="4"/>
      <c r="S264" s="4"/>
      <c r="T264" s="4" t="str">
        <f t="shared" si="8"/>
        <v>PMG - BB -  - Tallinn - Tartu mnt. 110 km. - 1</v>
      </c>
      <c r="U264" s="4" t="str">
        <f t="shared" si="9"/>
        <v>PMG - BB - Tallinn - Tartu mnt. 110 km.</v>
      </c>
      <c r="V264" s="40">
        <v>44562</v>
      </c>
      <c r="W264" s="31"/>
    </row>
    <row r="265" spans="1:23" ht="15" x14ac:dyDescent="0.25">
      <c r="A265" s="4" t="s">
        <v>13</v>
      </c>
      <c r="B265" s="4" t="s">
        <v>12</v>
      </c>
      <c r="C265" s="4"/>
      <c r="D265" s="4"/>
      <c r="E265" s="4" t="s">
        <v>1051</v>
      </c>
      <c r="F265" s="4" t="s">
        <v>617</v>
      </c>
      <c r="G265" s="4" t="s">
        <v>618</v>
      </c>
      <c r="H265" s="18">
        <v>2</v>
      </c>
      <c r="I265" s="4" t="s">
        <v>618</v>
      </c>
      <c r="J265" s="4"/>
      <c r="K265" s="4" t="s">
        <v>675</v>
      </c>
      <c r="L265" s="4"/>
      <c r="M265" s="4"/>
      <c r="N265" s="24">
        <v>25.762889999999999</v>
      </c>
      <c r="O265" s="24">
        <v>58.747599999999998</v>
      </c>
      <c r="P265" s="4" t="s">
        <v>729</v>
      </c>
      <c r="Q265" s="4" t="s">
        <v>12</v>
      </c>
      <c r="R265" s="4"/>
      <c r="S265" s="4"/>
      <c r="T265" s="4" t="str">
        <f t="shared" si="8"/>
        <v>PMG - BB -  - Tallinn - Tartu mnt. 110 km. - 2</v>
      </c>
      <c r="U265" s="4" t="str">
        <f t="shared" si="9"/>
        <v>PMG - BB - Tallinn - Tartu mnt. 110 km.</v>
      </c>
      <c r="V265" s="40">
        <v>44562</v>
      </c>
      <c r="W265" s="31"/>
    </row>
    <row r="266" spans="1:23" ht="15" x14ac:dyDescent="0.25">
      <c r="A266" s="4" t="s">
        <v>13</v>
      </c>
      <c r="B266" s="4" t="s">
        <v>12</v>
      </c>
      <c r="C266" s="4"/>
      <c r="D266" s="4"/>
      <c r="E266" s="4" t="s">
        <v>1051</v>
      </c>
      <c r="F266" s="4" t="s">
        <v>617</v>
      </c>
      <c r="G266" s="4" t="s">
        <v>619</v>
      </c>
      <c r="H266" s="18">
        <v>1</v>
      </c>
      <c r="I266" s="4" t="s">
        <v>619</v>
      </c>
      <c r="J266" s="4"/>
      <c r="K266" s="4" t="s">
        <v>676</v>
      </c>
      <c r="L266" s="4"/>
      <c r="M266" s="4"/>
      <c r="N266" s="24">
        <v>26.391310000000001</v>
      </c>
      <c r="O266" s="24">
        <v>58.460724999999996</v>
      </c>
      <c r="P266" s="4" t="s">
        <v>730</v>
      </c>
      <c r="Q266" s="4" t="s">
        <v>12</v>
      </c>
      <c r="R266" s="4"/>
      <c r="S266" s="4"/>
      <c r="T266" s="4" t="str">
        <f t="shared" si="8"/>
        <v>PMG - BB -  - Tallinn - Tartu mnt. 162 km. - 1</v>
      </c>
      <c r="U266" s="4" t="str">
        <f t="shared" si="9"/>
        <v>PMG - BB - Tallinn - Tartu mnt. 162 km.</v>
      </c>
      <c r="V266" s="40">
        <v>44562</v>
      </c>
      <c r="W266" s="31"/>
    </row>
    <row r="267" spans="1:23" ht="15" x14ac:dyDescent="0.25">
      <c r="A267" s="4" t="s">
        <v>13</v>
      </c>
      <c r="B267" s="4" t="s">
        <v>12</v>
      </c>
      <c r="C267" s="4"/>
      <c r="D267" s="4"/>
      <c r="E267" s="4" t="s">
        <v>1051</v>
      </c>
      <c r="F267" s="4" t="s">
        <v>617</v>
      </c>
      <c r="G267" s="4" t="s">
        <v>619</v>
      </c>
      <c r="H267" s="18">
        <v>2</v>
      </c>
      <c r="I267" s="4" t="s">
        <v>619</v>
      </c>
      <c r="J267" s="4"/>
      <c r="K267" s="4" t="s">
        <v>676</v>
      </c>
      <c r="L267" s="4"/>
      <c r="M267" s="4"/>
      <c r="N267" s="24">
        <v>26.391310000000001</v>
      </c>
      <c r="O267" s="24">
        <v>58.460724999999996</v>
      </c>
      <c r="P267" s="4" t="s">
        <v>731</v>
      </c>
      <c r="Q267" s="4" t="s">
        <v>12</v>
      </c>
      <c r="R267" s="4"/>
      <c r="S267" s="4"/>
      <c r="T267" s="4" t="str">
        <f t="shared" si="8"/>
        <v>PMG - BB -  - Tallinn - Tartu mnt. 162 km. - 2</v>
      </c>
      <c r="U267" s="4" t="str">
        <f t="shared" si="9"/>
        <v>PMG - BB - Tallinn - Tartu mnt. 162 km.</v>
      </c>
      <c r="V267" s="40">
        <v>44562</v>
      </c>
      <c r="W267" s="31"/>
    </row>
    <row r="268" spans="1:23" ht="15" x14ac:dyDescent="0.25">
      <c r="A268" s="4" t="s">
        <v>13</v>
      </c>
      <c r="B268" s="4" t="s">
        <v>12</v>
      </c>
      <c r="C268" s="4"/>
      <c r="D268" s="4"/>
      <c r="E268" s="4" t="s">
        <v>1051</v>
      </c>
      <c r="F268" s="4" t="s">
        <v>617</v>
      </c>
      <c r="G268" s="4" t="s">
        <v>620</v>
      </c>
      <c r="H268" s="18">
        <v>1</v>
      </c>
      <c r="I268" s="4" t="s">
        <v>620</v>
      </c>
      <c r="J268" s="4"/>
      <c r="K268" s="4" t="s">
        <v>677</v>
      </c>
      <c r="L268" s="4"/>
      <c r="M268" s="4"/>
      <c r="N268" s="24">
        <v>25.609116</v>
      </c>
      <c r="O268" s="24">
        <v>58.933225999999998</v>
      </c>
      <c r="P268" s="4" t="s">
        <v>732</v>
      </c>
      <c r="Q268" s="4" t="s">
        <v>12</v>
      </c>
      <c r="R268" s="4"/>
      <c r="S268" s="4"/>
      <c r="T268" s="4" t="str">
        <f t="shared" si="8"/>
        <v>PMG - BB -  - Kükita 1 Tallinna pool (Tallinn - Tartu 80 km) - 1</v>
      </c>
      <c r="U268" s="4" t="str">
        <f t="shared" si="9"/>
        <v>PMG - BB - Kükita 1 Tallinna pool (Tallinn - Tartu 80 km)</v>
      </c>
      <c r="V268" s="40">
        <v>44562</v>
      </c>
      <c r="W268" s="31"/>
    </row>
    <row r="269" spans="1:23" ht="15" x14ac:dyDescent="0.25">
      <c r="A269" s="4" t="s">
        <v>13</v>
      </c>
      <c r="B269" s="4" t="s">
        <v>12</v>
      </c>
      <c r="C269" s="4"/>
      <c r="D269" s="4"/>
      <c r="E269" s="4" t="s">
        <v>1051</v>
      </c>
      <c r="F269" s="4" t="s">
        <v>617</v>
      </c>
      <c r="G269" s="4" t="s">
        <v>621</v>
      </c>
      <c r="H269" s="18">
        <v>1</v>
      </c>
      <c r="I269" s="4" t="s">
        <v>621</v>
      </c>
      <c r="J269" s="4"/>
      <c r="K269" s="4" t="s">
        <v>677</v>
      </c>
      <c r="L269" s="4"/>
      <c r="M269" s="4"/>
      <c r="N269" s="24">
        <v>25.609116</v>
      </c>
      <c r="O269" s="24">
        <v>58.933225999999998</v>
      </c>
      <c r="P269" s="4" t="s">
        <v>733</v>
      </c>
      <c r="Q269" s="4" t="s">
        <v>12</v>
      </c>
      <c r="R269" s="4"/>
      <c r="S269" s="4"/>
      <c r="T269" s="4" t="str">
        <f t="shared" si="8"/>
        <v>PMG - BB -  - Kükita 1 Tartu pool - 1</v>
      </c>
      <c r="U269" s="4" t="str">
        <f t="shared" si="9"/>
        <v>PMG - BB - Kükita 1 Tartu pool</v>
      </c>
      <c r="V269" s="40">
        <v>44562</v>
      </c>
      <c r="W269" s="31"/>
    </row>
    <row r="270" spans="1:23" ht="15" x14ac:dyDescent="0.25">
      <c r="A270" s="4" t="s">
        <v>13</v>
      </c>
      <c r="B270" s="4" t="s">
        <v>12</v>
      </c>
      <c r="C270" s="4"/>
      <c r="D270" s="4"/>
      <c r="E270" s="4" t="s">
        <v>1051</v>
      </c>
      <c r="F270" s="4" t="s">
        <v>617</v>
      </c>
      <c r="G270" s="4" t="s">
        <v>622</v>
      </c>
      <c r="H270" s="18">
        <v>1</v>
      </c>
      <c r="I270" s="4" t="s">
        <v>622</v>
      </c>
      <c r="J270" s="4"/>
      <c r="K270" s="4" t="s">
        <v>678</v>
      </c>
      <c r="L270" s="4"/>
      <c r="M270" s="4"/>
      <c r="N270" s="24">
        <v>25.705659000000001</v>
      </c>
      <c r="O270" s="24">
        <v>58.868495000000003</v>
      </c>
      <c r="P270" s="4" t="s">
        <v>734</v>
      </c>
      <c r="Q270" s="4" t="s">
        <v>12</v>
      </c>
      <c r="R270" s="4"/>
      <c r="S270" s="4"/>
      <c r="T270" s="4" t="str">
        <f t="shared" si="8"/>
        <v>PMG - BB -  - Mäeküla Tallinna pool (Tallinn - Tartu 92 km) - 1</v>
      </c>
      <c r="U270" s="4" t="str">
        <f t="shared" si="9"/>
        <v>PMG - BB - Mäeküla Tallinna pool (Tallinn - Tartu 92 km)</v>
      </c>
      <c r="V270" s="40">
        <v>44562</v>
      </c>
      <c r="W270" s="31"/>
    </row>
    <row r="271" spans="1:23" ht="15" x14ac:dyDescent="0.25">
      <c r="A271" s="4" t="s">
        <v>13</v>
      </c>
      <c r="B271" s="4" t="s">
        <v>12</v>
      </c>
      <c r="C271" s="4"/>
      <c r="D271" s="4"/>
      <c r="E271" s="4" t="s">
        <v>1051</v>
      </c>
      <c r="F271" s="4" t="s">
        <v>617</v>
      </c>
      <c r="G271" s="4" t="s">
        <v>623</v>
      </c>
      <c r="H271" s="18">
        <v>1</v>
      </c>
      <c r="I271" s="4" t="s">
        <v>623</v>
      </c>
      <c r="J271" s="4"/>
      <c r="K271" s="4" t="s">
        <v>678</v>
      </c>
      <c r="L271" s="4"/>
      <c r="M271" s="4"/>
      <c r="N271" s="24">
        <v>25.705659000000001</v>
      </c>
      <c r="O271" s="24">
        <v>58.868495000000003</v>
      </c>
      <c r="P271" s="4" t="s">
        <v>735</v>
      </c>
      <c r="Q271" s="4" t="s">
        <v>12</v>
      </c>
      <c r="R271" s="4"/>
      <c r="S271" s="4"/>
      <c r="T271" s="4" t="str">
        <f t="shared" si="8"/>
        <v>PMG - BB -  - Mäeküla Tartu pool - 1</v>
      </c>
      <c r="U271" s="4" t="str">
        <f t="shared" si="9"/>
        <v>PMG - BB - Mäeküla Tartu pool</v>
      </c>
      <c r="V271" s="40">
        <v>44562</v>
      </c>
      <c r="W271" s="31"/>
    </row>
    <row r="272" spans="1:23" ht="15" x14ac:dyDescent="0.25">
      <c r="A272" s="4" t="s">
        <v>13</v>
      </c>
      <c r="B272" s="4" t="s">
        <v>12</v>
      </c>
      <c r="C272" s="4"/>
      <c r="D272" s="4"/>
      <c r="E272" s="4" t="s">
        <v>1051</v>
      </c>
      <c r="F272" s="4" t="s">
        <v>617</v>
      </c>
      <c r="G272" s="4" t="s">
        <v>624</v>
      </c>
      <c r="H272" s="18">
        <v>1</v>
      </c>
      <c r="I272" s="4" t="s">
        <v>624</v>
      </c>
      <c r="J272" s="4"/>
      <c r="K272" s="4" t="s">
        <v>679</v>
      </c>
      <c r="L272" s="4"/>
      <c r="M272" s="4"/>
      <c r="N272" s="24">
        <v>25.752725000000002</v>
      </c>
      <c r="O272" s="24">
        <v>58.822248999999999</v>
      </c>
      <c r="P272" s="4" t="s">
        <v>736</v>
      </c>
      <c r="Q272" s="4" t="s">
        <v>12</v>
      </c>
      <c r="R272" s="4"/>
      <c r="S272" s="4"/>
      <c r="T272" s="4" t="str">
        <f t="shared" si="8"/>
        <v>PMG - BB -  - Koigi Tallinna pool (Tallinn - Tartu 98 km.) - 1</v>
      </c>
      <c r="U272" s="4" t="str">
        <f t="shared" si="9"/>
        <v>PMG - BB - Koigi Tallinna pool (Tallinn - Tartu 98 km.)</v>
      </c>
      <c r="V272" s="40">
        <v>44562</v>
      </c>
      <c r="W272" s="31"/>
    </row>
    <row r="273" spans="1:23" ht="15" x14ac:dyDescent="0.25">
      <c r="A273" s="4" t="s">
        <v>13</v>
      </c>
      <c r="B273" s="4" t="s">
        <v>12</v>
      </c>
      <c r="C273" s="4"/>
      <c r="D273" s="4"/>
      <c r="E273" s="4" t="s">
        <v>1051</v>
      </c>
      <c r="F273" s="4" t="s">
        <v>617</v>
      </c>
      <c r="G273" s="4" t="s">
        <v>625</v>
      </c>
      <c r="H273" s="18">
        <v>1</v>
      </c>
      <c r="I273" s="4" t="s">
        <v>625</v>
      </c>
      <c r="J273" s="4"/>
      <c r="K273" s="4" t="s">
        <v>679</v>
      </c>
      <c r="L273" s="4"/>
      <c r="M273" s="4"/>
      <c r="N273" s="24">
        <v>25.752725000000002</v>
      </c>
      <c r="O273" s="24">
        <v>58.822248999999999</v>
      </c>
      <c r="P273" s="4" t="s">
        <v>737</v>
      </c>
      <c r="Q273" s="4" t="s">
        <v>12</v>
      </c>
      <c r="R273" s="4"/>
      <c r="S273" s="4"/>
      <c r="T273" s="4" t="str">
        <f t="shared" si="8"/>
        <v>PMG - BB -  - Koigi Tartu pool - 1</v>
      </c>
      <c r="U273" s="4" t="str">
        <f t="shared" si="9"/>
        <v>PMG - BB - Koigi Tartu pool</v>
      </c>
      <c r="V273" s="40">
        <v>44562</v>
      </c>
      <c r="W273" s="31"/>
    </row>
    <row r="274" spans="1:23" ht="15" x14ac:dyDescent="0.25">
      <c r="A274" s="4" t="s">
        <v>13</v>
      </c>
      <c r="B274" s="4" t="s">
        <v>12</v>
      </c>
      <c r="C274" s="4"/>
      <c r="D274" s="4"/>
      <c r="E274" s="4" t="s">
        <v>1051</v>
      </c>
      <c r="F274" s="4" t="s">
        <v>617</v>
      </c>
      <c r="G274" s="4" t="s">
        <v>626</v>
      </c>
      <c r="H274" s="18">
        <v>1</v>
      </c>
      <c r="I274" s="4" t="s">
        <v>626</v>
      </c>
      <c r="J274" s="4"/>
      <c r="K274" s="4" t="s">
        <v>680</v>
      </c>
      <c r="L274" s="4"/>
      <c r="M274" s="4"/>
      <c r="N274" s="24">
        <v>25.964848</v>
      </c>
      <c r="O274" s="24">
        <v>58.670233000000003</v>
      </c>
      <c r="P274" s="4" t="s">
        <v>738</v>
      </c>
      <c r="Q274" s="4" t="s">
        <v>12</v>
      </c>
      <c r="R274" s="4"/>
      <c r="S274" s="4"/>
      <c r="T274" s="4" t="str">
        <f t="shared" si="8"/>
        <v>PMG - BB -  - Põltsamaa Tallinna pool (Tallinn - Tartu 120 km.) - 1</v>
      </c>
      <c r="U274" s="4" t="str">
        <f t="shared" si="9"/>
        <v>PMG - BB - Põltsamaa Tallinna pool (Tallinn - Tartu 120 km.)</v>
      </c>
      <c r="V274" s="40">
        <v>44562</v>
      </c>
      <c r="W274" s="31"/>
    </row>
    <row r="275" spans="1:23" ht="15" x14ac:dyDescent="0.25">
      <c r="A275" s="4" t="s">
        <v>13</v>
      </c>
      <c r="B275" s="4" t="s">
        <v>12</v>
      </c>
      <c r="C275" s="4"/>
      <c r="D275" s="4"/>
      <c r="E275" s="4" t="s">
        <v>1051</v>
      </c>
      <c r="F275" s="4" t="s">
        <v>617</v>
      </c>
      <c r="G275" s="4" t="s">
        <v>627</v>
      </c>
      <c r="H275" s="18">
        <v>1</v>
      </c>
      <c r="I275" s="4" t="s">
        <v>627</v>
      </c>
      <c r="J275" s="4"/>
      <c r="K275" s="4" t="s">
        <v>680</v>
      </c>
      <c r="L275" s="4"/>
      <c r="M275" s="4"/>
      <c r="N275" s="24">
        <v>25.964848</v>
      </c>
      <c r="O275" s="24">
        <v>58.670233000000003</v>
      </c>
      <c r="P275" s="4" t="s">
        <v>739</v>
      </c>
      <c r="Q275" s="4" t="s">
        <v>12</v>
      </c>
      <c r="R275" s="4"/>
      <c r="S275" s="4"/>
      <c r="T275" s="4" t="str">
        <f t="shared" si="8"/>
        <v>PMG - BB -  - Põltsamaa Tartu pool - 1</v>
      </c>
      <c r="U275" s="4" t="str">
        <f t="shared" si="9"/>
        <v>PMG - BB - Põltsamaa Tartu pool</v>
      </c>
      <c r="V275" s="40">
        <v>44562</v>
      </c>
      <c r="W275" s="31"/>
    </row>
    <row r="276" spans="1:23" ht="15" x14ac:dyDescent="0.25">
      <c r="A276" s="4" t="s">
        <v>13</v>
      </c>
      <c r="B276" s="4" t="s">
        <v>12</v>
      </c>
      <c r="C276" s="4"/>
      <c r="D276" s="4"/>
      <c r="E276" s="4" t="s">
        <v>1051</v>
      </c>
      <c r="F276" s="4" t="s">
        <v>617</v>
      </c>
      <c r="G276" s="4" t="s">
        <v>628</v>
      </c>
      <c r="H276" s="18">
        <v>1</v>
      </c>
      <c r="I276" s="4" t="s">
        <v>628</v>
      </c>
      <c r="J276" s="4"/>
      <c r="K276" s="4" t="s">
        <v>681</v>
      </c>
      <c r="L276" s="4"/>
      <c r="M276" s="4"/>
      <c r="N276" s="24">
        <v>26.627832999999999</v>
      </c>
      <c r="O276" s="24">
        <v>58.409734999999998</v>
      </c>
      <c r="P276" s="4" t="s">
        <v>740</v>
      </c>
      <c r="Q276" s="4" t="s">
        <v>12</v>
      </c>
      <c r="R276" s="4"/>
      <c r="S276" s="4"/>
      <c r="T276" s="4" t="str">
        <f t="shared" si="8"/>
        <v>PMG - BB -  - Tähtvere Tallinna pool (Tallinn - Tartu 177 km.) - 1</v>
      </c>
      <c r="U276" s="4" t="str">
        <f t="shared" si="9"/>
        <v>PMG - BB - Tähtvere Tallinna pool (Tallinn - Tartu 177 km.)</v>
      </c>
      <c r="V276" s="40">
        <v>44562</v>
      </c>
      <c r="W276" s="31"/>
    </row>
    <row r="277" spans="1:23" ht="15" x14ac:dyDescent="0.25">
      <c r="A277" s="4" t="s">
        <v>13</v>
      </c>
      <c r="B277" s="4" t="s">
        <v>12</v>
      </c>
      <c r="C277" s="4"/>
      <c r="D277" s="4"/>
      <c r="E277" s="4" t="s">
        <v>1051</v>
      </c>
      <c r="F277" s="4" t="s">
        <v>617</v>
      </c>
      <c r="G277" s="4" t="s">
        <v>629</v>
      </c>
      <c r="H277" s="18">
        <v>1</v>
      </c>
      <c r="I277" s="4" t="s">
        <v>629</v>
      </c>
      <c r="J277" s="4"/>
      <c r="K277" s="4" t="s">
        <v>681</v>
      </c>
      <c r="L277" s="4"/>
      <c r="M277" s="4"/>
      <c r="N277" s="24">
        <v>26.627832999999999</v>
      </c>
      <c r="O277" s="24">
        <v>58.409734999999998</v>
      </c>
      <c r="P277" s="4" t="s">
        <v>741</v>
      </c>
      <c r="Q277" s="4" t="s">
        <v>12</v>
      </c>
      <c r="R277" s="4"/>
      <c r="S277" s="4"/>
      <c r="T277" s="4" t="str">
        <f t="shared" si="8"/>
        <v>PMG - BB -  - Tähtvere Tartu poolt - 1</v>
      </c>
      <c r="U277" s="4" t="str">
        <f t="shared" si="9"/>
        <v>PMG - BB - Tähtvere Tartu poolt</v>
      </c>
      <c r="V277" s="40">
        <v>44562</v>
      </c>
      <c r="W277" s="31"/>
    </row>
    <row r="278" spans="1:23" ht="15" x14ac:dyDescent="0.25">
      <c r="A278" s="4" t="s">
        <v>13</v>
      </c>
      <c r="B278" s="4" t="s">
        <v>12</v>
      </c>
      <c r="C278" s="4"/>
      <c r="D278" s="4"/>
      <c r="E278" s="4" t="s">
        <v>1051</v>
      </c>
      <c r="F278" s="4" t="s">
        <v>617</v>
      </c>
      <c r="G278" s="4" t="s">
        <v>630</v>
      </c>
      <c r="H278" s="18">
        <v>1</v>
      </c>
      <c r="I278" s="4" t="s">
        <v>630</v>
      </c>
      <c r="J278" s="4"/>
      <c r="K278" s="4" t="s">
        <v>681</v>
      </c>
      <c r="L278" s="4"/>
      <c r="M278" s="4"/>
      <c r="N278" s="24">
        <v>26.629421000000001</v>
      </c>
      <c r="O278" s="24">
        <v>58.409779999999998</v>
      </c>
      <c r="P278" s="4" t="s">
        <v>742</v>
      </c>
      <c r="Q278" s="4" t="s">
        <v>12</v>
      </c>
      <c r="R278" s="4"/>
      <c r="S278" s="4"/>
      <c r="T278" s="4" t="str">
        <f t="shared" si="8"/>
        <v>PMG - BB -  - Tähtvere 2 Tallinna pool (Tallinn - Tartu 177  km) - 1</v>
      </c>
      <c r="U278" s="4" t="str">
        <f t="shared" si="9"/>
        <v>PMG - BB - Tähtvere 2 Tallinna pool (Tallinn - Tartu 177  km)</v>
      </c>
      <c r="V278" s="40">
        <v>44562</v>
      </c>
      <c r="W278" s="31"/>
    </row>
    <row r="279" spans="1:23" ht="15" x14ac:dyDescent="0.25">
      <c r="A279" s="4" t="s">
        <v>13</v>
      </c>
      <c r="B279" s="4" t="s">
        <v>12</v>
      </c>
      <c r="C279" s="4"/>
      <c r="D279" s="4"/>
      <c r="E279" s="4" t="s">
        <v>1051</v>
      </c>
      <c r="F279" s="4" t="s">
        <v>617</v>
      </c>
      <c r="G279" s="4" t="s">
        <v>631</v>
      </c>
      <c r="H279" s="18">
        <v>1</v>
      </c>
      <c r="I279" s="4" t="s">
        <v>631</v>
      </c>
      <c r="J279" s="4"/>
      <c r="K279" s="4" t="s">
        <v>681</v>
      </c>
      <c r="L279" s="4"/>
      <c r="M279" s="4"/>
      <c r="N279" s="24">
        <v>26.629421000000001</v>
      </c>
      <c r="O279" s="24">
        <v>58.409779999999998</v>
      </c>
      <c r="P279" s="4" t="s">
        <v>743</v>
      </c>
      <c r="Q279" s="4" t="s">
        <v>12</v>
      </c>
      <c r="R279" s="4"/>
      <c r="S279" s="4"/>
      <c r="T279" s="4" t="str">
        <f t="shared" si="8"/>
        <v>PMG - BB -  - Tähtvere 2 Tartu pool - 1</v>
      </c>
      <c r="U279" s="4" t="str">
        <f t="shared" si="9"/>
        <v>PMG - BB - Tähtvere 2 Tartu pool</v>
      </c>
      <c r="V279" s="40">
        <v>44562</v>
      </c>
      <c r="W279" s="31"/>
    </row>
    <row r="280" spans="1:23" ht="15" x14ac:dyDescent="0.25">
      <c r="A280" s="4" t="s">
        <v>13</v>
      </c>
      <c r="B280" s="4" t="s">
        <v>12</v>
      </c>
      <c r="C280" s="4"/>
      <c r="D280" s="4"/>
      <c r="E280" s="4" t="s">
        <v>1051</v>
      </c>
      <c r="F280" s="4" t="s">
        <v>617</v>
      </c>
      <c r="G280" s="4" t="s">
        <v>632</v>
      </c>
      <c r="H280" s="18">
        <v>1</v>
      </c>
      <c r="I280" s="4" t="s">
        <v>632</v>
      </c>
      <c r="J280" s="4"/>
      <c r="K280" s="4" t="s">
        <v>682</v>
      </c>
      <c r="L280" s="4"/>
      <c r="M280" s="4"/>
      <c r="N280" s="24">
        <v>26.713266999999998</v>
      </c>
      <c r="O280" s="24">
        <v>58.332604000000003</v>
      </c>
      <c r="P280" s="4" t="s">
        <v>744</v>
      </c>
      <c r="Q280" s="4" t="s">
        <v>12</v>
      </c>
      <c r="R280" s="4"/>
      <c r="S280" s="4"/>
      <c r="T280" s="4" t="str">
        <f t="shared" si="8"/>
        <v>PMG - BB -  - Tartu - Võru mnt.1 /  Ülenurme - Tartu poolt - 1</v>
      </c>
      <c r="U280" s="4" t="str">
        <f t="shared" si="9"/>
        <v>PMG - BB - Tartu - Võru mnt.1 /  Ülenurme - Tartu poolt</v>
      </c>
      <c r="V280" s="40">
        <v>44562</v>
      </c>
      <c r="W280" s="31"/>
    </row>
    <row r="281" spans="1:23" ht="15" x14ac:dyDescent="0.25">
      <c r="A281" s="4" t="s">
        <v>13</v>
      </c>
      <c r="B281" s="4" t="s">
        <v>12</v>
      </c>
      <c r="C281" s="4"/>
      <c r="D281" s="4"/>
      <c r="E281" s="4" t="s">
        <v>1051</v>
      </c>
      <c r="F281" s="4" t="s">
        <v>617</v>
      </c>
      <c r="G281" s="4" t="s">
        <v>633</v>
      </c>
      <c r="H281" s="18">
        <v>1</v>
      </c>
      <c r="I281" s="4" t="s">
        <v>633</v>
      </c>
      <c r="J281" s="4"/>
      <c r="K281" s="4" t="s">
        <v>682</v>
      </c>
      <c r="L281" s="4"/>
      <c r="M281" s="4"/>
      <c r="N281" s="24">
        <v>26.713266999999998</v>
      </c>
      <c r="O281" s="24">
        <v>58.332604000000003</v>
      </c>
      <c r="P281" s="4" t="s">
        <v>745</v>
      </c>
      <c r="Q281" s="4" t="s">
        <v>12</v>
      </c>
      <c r="R281" s="4"/>
      <c r="S281" s="4"/>
      <c r="T281" s="4" t="str">
        <f t="shared" si="8"/>
        <v>PMG - BB -  - Tartu - Võru mnt.1 / Ülenurme - Võru poolt - 1</v>
      </c>
      <c r="U281" s="4" t="str">
        <f t="shared" si="9"/>
        <v>PMG - BB - Tartu - Võru mnt.1 / Ülenurme - Võru poolt</v>
      </c>
      <c r="V281" s="40">
        <v>44562</v>
      </c>
      <c r="W281" s="31"/>
    </row>
    <row r="282" spans="1:23" ht="15" x14ac:dyDescent="0.25">
      <c r="A282" s="4" t="s">
        <v>13</v>
      </c>
      <c r="B282" s="4" t="s">
        <v>12</v>
      </c>
      <c r="C282" s="4"/>
      <c r="D282" s="4"/>
      <c r="E282" s="4" t="s">
        <v>1051</v>
      </c>
      <c r="F282" s="4" t="s">
        <v>617</v>
      </c>
      <c r="G282" s="4" t="s">
        <v>634</v>
      </c>
      <c r="H282" s="18">
        <v>1</v>
      </c>
      <c r="I282" s="4" t="s">
        <v>634</v>
      </c>
      <c r="J282" s="4"/>
      <c r="K282" s="4" t="s">
        <v>683</v>
      </c>
      <c r="L282" s="4"/>
      <c r="M282" s="4"/>
      <c r="N282" s="24">
        <v>26.755382999999998</v>
      </c>
      <c r="O282" s="24">
        <v>58.415928000000001</v>
      </c>
      <c r="P282" s="4" t="s">
        <v>746</v>
      </c>
      <c r="Q282" s="4" t="s">
        <v>12</v>
      </c>
      <c r="R282" s="4"/>
      <c r="S282" s="4"/>
      <c r="T282" s="4" t="str">
        <f t="shared" si="8"/>
        <v>PMG - BB -  - Tartu-Narva mnt. 5 km. Kõrveküla Tartu poolt - 1</v>
      </c>
      <c r="U282" s="4" t="str">
        <f t="shared" si="9"/>
        <v>PMG - BB - Tartu-Narva mnt. 5 km. Kõrveküla Tartu poolt</v>
      </c>
      <c r="V282" s="40">
        <v>44562</v>
      </c>
      <c r="W282" s="31"/>
    </row>
    <row r="283" spans="1:23" ht="15" x14ac:dyDescent="0.25">
      <c r="A283" s="4" t="s">
        <v>13</v>
      </c>
      <c r="B283" s="4" t="s">
        <v>12</v>
      </c>
      <c r="C283" s="4"/>
      <c r="D283" s="4"/>
      <c r="E283" s="4" t="s">
        <v>1051</v>
      </c>
      <c r="F283" s="4" t="s">
        <v>617</v>
      </c>
      <c r="G283" s="4" t="s">
        <v>635</v>
      </c>
      <c r="H283" s="18">
        <v>1</v>
      </c>
      <c r="I283" s="4" t="s">
        <v>635</v>
      </c>
      <c r="J283" s="4"/>
      <c r="K283" s="4" t="s">
        <v>683</v>
      </c>
      <c r="L283" s="4"/>
      <c r="M283" s="4"/>
      <c r="N283" s="24">
        <v>26.755382999999998</v>
      </c>
      <c r="O283" s="24">
        <v>58.415928000000001</v>
      </c>
      <c r="P283" s="4" t="s">
        <v>747</v>
      </c>
      <c r="Q283" s="4" t="s">
        <v>12</v>
      </c>
      <c r="R283" s="4"/>
      <c r="S283" s="4"/>
      <c r="T283" s="4" t="str">
        <f t="shared" si="8"/>
        <v>PMG - BB -  - Tartu-Narva mnt Kõrveküla Narva poolt - 1</v>
      </c>
      <c r="U283" s="4" t="str">
        <f t="shared" si="9"/>
        <v>PMG - BB - Tartu-Narva mnt Kõrveküla Narva poolt</v>
      </c>
      <c r="V283" s="40">
        <v>44562</v>
      </c>
      <c r="W283" s="31"/>
    </row>
    <row r="284" spans="1:23" ht="15" x14ac:dyDescent="0.25">
      <c r="A284" s="4" t="s">
        <v>13</v>
      </c>
      <c r="B284" s="4" t="s">
        <v>12</v>
      </c>
      <c r="C284" s="4"/>
      <c r="D284" s="4"/>
      <c r="E284" s="4" t="s">
        <v>1051</v>
      </c>
      <c r="F284" s="4" t="s">
        <v>636</v>
      </c>
      <c r="G284" s="4" t="s">
        <v>637</v>
      </c>
      <c r="H284" s="18">
        <v>1</v>
      </c>
      <c r="I284" s="4" t="s">
        <v>637</v>
      </c>
      <c r="J284" s="4"/>
      <c r="K284" s="4" t="s">
        <v>684</v>
      </c>
      <c r="L284" s="4"/>
      <c r="M284" s="4"/>
      <c r="N284" s="24">
        <v>24.606399</v>
      </c>
      <c r="O284" s="24">
        <v>59.333838999999998</v>
      </c>
      <c r="P284" s="4" t="s">
        <v>748</v>
      </c>
      <c r="Q284" s="4" t="s">
        <v>12</v>
      </c>
      <c r="R284" s="4"/>
      <c r="S284" s="4"/>
      <c r="T284" s="4" t="str">
        <f t="shared" si="8"/>
        <v>PMG - BB -  - Tln-Pärnu mnt.1 / 4 km, Tallinna pool - 1</v>
      </c>
      <c r="U284" s="4" t="str">
        <f t="shared" si="9"/>
        <v>PMG - BB - Tln-Pärnu mnt.1 / 4 km, Tallinna pool</v>
      </c>
      <c r="V284" s="40">
        <v>44562</v>
      </c>
      <c r="W284" s="31"/>
    </row>
    <row r="285" spans="1:23" ht="15" x14ac:dyDescent="0.25">
      <c r="A285" s="4" t="s">
        <v>13</v>
      </c>
      <c r="B285" s="4" t="s">
        <v>12</v>
      </c>
      <c r="C285" s="4"/>
      <c r="D285" s="4"/>
      <c r="E285" s="4" t="s">
        <v>1051</v>
      </c>
      <c r="F285" s="4" t="s">
        <v>636</v>
      </c>
      <c r="G285" s="4" t="s">
        <v>638</v>
      </c>
      <c r="H285" s="18">
        <v>1</v>
      </c>
      <c r="I285" s="4" t="s">
        <v>638</v>
      </c>
      <c r="J285" s="4"/>
      <c r="K285" s="4" t="s">
        <v>684</v>
      </c>
      <c r="L285" s="4"/>
      <c r="M285" s="4"/>
      <c r="N285" s="24">
        <v>24.606399</v>
      </c>
      <c r="O285" s="24">
        <v>59.333838999999998</v>
      </c>
      <c r="P285" s="4" t="s">
        <v>749</v>
      </c>
      <c r="Q285" s="4" t="s">
        <v>12</v>
      </c>
      <c r="R285" s="4"/>
      <c r="S285" s="4"/>
      <c r="T285" s="4" t="str">
        <f t="shared" si="8"/>
        <v>PMG - BB -  - Tln-Pärnu mnt 1 Pärnu pool - 1</v>
      </c>
      <c r="U285" s="4" t="str">
        <f t="shared" si="9"/>
        <v>PMG - BB - Tln-Pärnu mnt 1 Pärnu pool</v>
      </c>
      <c r="V285" s="40">
        <v>44562</v>
      </c>
      <c r="W285" s="31"/>
    </row>
    <row r="286" spans="1:23" ht="15" x14ac:dyDescent="0.25">
      <c r="A286" s="4" t="s">
        <v>13</v>
      </c>
      <c r="B286" s="4" t="s">
        <v>12</v>
      </c>
      <c r="C286" s="4"/>
      <c r="D286" s="4"/>
      <c r="E286" s="4" t="s">
        <v>1051</v>
      </c>
      <c r="F286" s="4" t="s">
        <v>636</v>
      </c>
      <c r="G286" s="4" t="s">
        <v>639</v>
      </c>
      <c r="H286" s="18">
        <v>1</v>
      </c>
      <c r="I286" s="4" t="s">
        <v>639</v>
      </c>
      <c r="J286" s="4"/>
      <c r="K286" s="4" t="s">
        <v>685</v>
      </c>
      <c r="L286" s="4"/>
      <c r="M286" s="4"/>
      <c r="N286" s="24">
        <v>24.562424</v>
      </c>
      <c r="O286" s="24">
        <v>59.303724000000003</v>
      </c>
      <c r="P286" s="4" t="s">
        <v>750</v>
      </c>
      <c r="Q286" s="4" t="s">
        <v>12</v>
      </c>
      <c r="R286" s="4"/>
      <c r="S286" s="4"/>
      <c r="T286" s="4" t="str">
        <f t="shared" si="8"/>
        <v>PMG - BB -  - Tallinn - Pärnu 20 km. - 1</v>
      </c>
      <c r="U286" s="4" t="str">
        <f t="shared" si="9"/>
        <v>PMG - BB - Tallinn - Pärnu 20 km.</v>
      </c>
      <c r="V286" s="40">
        <v>44562</v>
      </c>
      <c r="W286" s="31"/>
    </row>
    <row r="287" spans="1:23" ht="15" x14ac:dyDescent="0.25">
      <c r="A287" s="4" t="s">
        <v>13</v>
      </c>
      <c r="B287" s="4" t="s">
        <v>12</v>
      </c>
      <c r="C287" s="4"/>
      <c r="D287" s="4"/>
      <c r="E287" s="4" t="s">
        <v>1051</v>
      </c>
      <c r="F287" s="4" t="s">
        <v>636</v>
      </c>
      <c r="G287" s="4" t="s">
        <v>639</v>
      </c>
      <c r="H287" s="18">
        <v>2</v>
      </c>
      <c r="I287" s="4" t="s">
        <v>639</v>
      </c>
      <c r="J287" s="4"/>
      <c r="K287" s="4" t="s">
        <v>685</v>
      </c>
      <c r="L287" s="4"/>
      <c r="M287" s="4"/>
      <c r="N287" s="24">
        <v>24.562424</v>
      </c>
      <c r="O287" s="24">
        <v>59.303724000000003</v>
      </c>
      <c r="P287" s="4" t="s">
        <v>751</v>
      </c>
      <c r="Q287" s="4" t="s">
        <v>12</v>
      </c>
      <c r="R287" s="4"/>
      <c r="S287" s="4"/>
      <c r="T287" s="4" t="str">
        <f t="shared" si="8"/>
        <v>PMG - BB -  - Tallinn - Pärnu 20 km. - 2</v>
      </c>
      <c r="U287" s="4" t="str">
        <f t="shared" si="9"/>
        <v>PMG - BB - Tallinn - Pärnu 20 km.</v>
      </c>
      <c r="V287" s="40">
        <v>44562</v>
      </c>
      <c r="W287" s="31"/>
    </row>
    <row r="288" spans="1:23" ht="15" x14ac:dyDescent="0.25">
      <c r="A288" s="4" t="s">
        <v>13</v>
      </c>
      <c r="B288" s="4" t="s">
        <v>12</v>
      </c>
      <c r="C288" s="4"/>
      <c r="D288" s="4"/>
      <c r="E288" s="4" t="s">
        <v>1051</v>
      </c>
      <c r="F288" s="4" t="s">
        <v>640</v>
      </c>
      <c r="G288" s="4" t="s">
        <v>641</v>
      </c>
      <c r="H288" s="18">
        <v>1</v>
      </c>
      <c r="I288" s="4" t="s">
        <v>641</v>
      </c>
      <c r="J288" s="4"/>
      <c r="K288" s="4" t="s">
        <v>686</v>
      </c>
      <c r="L288" s="4"/>
      <c r="M288" s="4"/>
      <c r="N288" s="24">
        <v>24.96245</v>
      </c>
      <c r="O288" s="24">
        <v>59.449043000000003</v>
      </c>
      <c r="P288" s="4" t="s">
        <v>752</v>
      </c>
      <c r="Q288" s="4" t="s">
        <v>12</v>
      </c>
      <c r="R288" s="4"/>
      <c r="S288" s="4"/>
      <c r="T288" s="4" t="str">
        <f t="shared" si="8"/>
        <v>PMG - BB -  - Tallinn - Narva mnt. 13 km. - 1</v>
      </c>
      <c r="U288" s="4" t="str">
        <f t="shared" si="9"/>
        <v>PMG - BB - Tallinn - Narva mnt. 13 km.</v>
      </c>
      <c r="V288" s="40">
        <v>44562</v>
      </c>
      <c r="W288" s="31"/>
    </row>
    <row r="289" spans="1:23" ht="15" x14ac:dyDescent="0.25">
      <c r="A289" s="4" t="s">
        <v>13</v>
      </c>
      <c r="B289" s="4" t="s">
        <v>12</v>
      </c>
      <c r="C289" s="4"/>
      <c r="D289" s="4"/>
      <c r="E289" s="4" t="s">
        <v>1051</v>
      </c>
      <c r="F289" s="4" t="s">
        <v>640</v>
      </c>
      <c r="G289" s="4" t="s">
        <v>641</v>
      </c>
      <c r="H289" s="18">
        <v>2</v>
      </c>
      <c r="I289" s="4" t="s">
        <v>641</v>
      </c>
      <c r="J289" s="4"/>
      <c r="K289" s="4" t="s">
        <v>686</v>
      </c>
      <c r="L289" s="4"/>
      <c r="M289" s="4"/>
      <c r="N289" s="24">
        <v>24.96245</v>
      </c>
      <c r="O289" s="24">
        <v>59.449043000000003</v>
      </c>
      <c r="P289" s="4" t="s">
        <v>753</v>
      </c>
      <c r="Q289" s="4" t="s">
        <v>12</v>
      </c>
      <c r="R289" s="4"/>
      <c r="S289" s="4"/>
      <c r="T289" s="4" t="str">
        <f t="shared" si="8"/>
        <v>PMG - BB -  - Tallinn - Narva mnt. 13 km. - 2</v>
      </c>
      <c r="U289" s="4" t="str">
        <f t="shared" si="9"/>
        <v>PMG - BB - Tallinn - Narva mnt. 13 km.</v>
      </c>
      <c r="V289" s="40">
        <v>44562</v>
      </c>
      <c r="W289" s="31"/>
    </row>
    <row r="290" spans="1:23" ht="15" x14ac:dyDescent="0.25">
      <c r="A290" s="4" t="s">
        <v>13</v>
      </c>
      <c r="B290" s="4" t="s">
        <v>12</v>
      </c>
      <c r="C290" s="4"/>
      <c r="D290" s="4"/>
      <c r="E290" s="4" t="s">
        <v>1051</v>
      </c>
      <c r="F290" s="4" t="s">
        <v>642</v>
      </c>
      <c r="G290" s="4" t="s">
        <v>643</v>
      </c>
      <c r="H290" s="18">
        <v>1</v>
      </c>
      <c r="I290" s="4" t="s">
        <v>643</v>
      </c>
      <c r="J290" s="4"/>
      <c r="K290" s="4" t="s">
        <v>687</v>
      </c>
      <c r="L290" s="4"/>
      <c r="M290" s="4"/>
      <c r="N290" s="24">
        <v>24.085139999999999</v>
      </c>
      <c r="O290" s="24">
        <v>58.998159000000001</v>
      </c>
      <c r="P290" s="4" t="s">
        <v>754</v>
      </c>
      <c r="Q290" s="4" t="s">
        <v>12</v>
      </c>
      <c r="R290" s="4"/>
      <c r="S290" s="4"/>
      <c r="T290" s="4" t="str">
        <f t="shared" si="8"/>
        <v>PMG - BB -  - Tallinn - Haapsalu 37,5 km - 1</v>
      </c>
      <c r="U290" s="4" t="str">
        <f t="shared" si="9"/>
        <v>PMG - BB - Tallinn - Haapsalu 37,5 km</v>
      </c>
      <c r="V290" s="40">
        <v>44562</v>
      </c>
      <c r="W290" s="31"/>
    </row>
    <row r="291" spans="1:23" ht="15" x14ac:dyDescent="0.25">
      <c r="A291" s="4" t="s">
        <v>13</v>
      </c>
      <c r="B291" s="4" t="s">
        <v>12</v>
      </c>
      <c r="C291" s="4"/>
      <c r="D291" s="4"/>
      <c r="E291" s="4" t="s">
        <v>1051</v>
      </c>
      <c r="F291" s="4" t="s">
        <v>642</v>
      </c>
      <c r="G291" s="4" t="s">
        <v>643</v>
      </c>
      <c r="H291" s="18">
        <v>2</v>
      </c>
      <c r="I291" s="4" t="s">
        <v>643</v>
      </c>
      <c r="J291" s="4"/>
      <c r="K291" s="4" t="s">
        <v>688</v>
      </c>
      <c r="L291" s="4"/>
      <c r="M291" s="4"/>
      <c r="N291" s="24">
        <v>24.085139999999999</v>
      </c>
      <c r="O291" s="24">
        <v>58.998159000000001</v>
      </c>
      <c r="P291" s="4" t="s">
        <v>755</v>
      </c>
      <c r="Q291" s="4" t="s">
        <v>12</v>
      </c>
      <c r="R291" s="4"/>
      <c r="S291" s="4"/>
      <c r="T291" s="4" t="str">
        <f t="shared" si="8"/>
        <v>PMG - BB -  - Tallinn - Haapsalu 37,5 km - 2</v>
      </c>
      <c r="U291" s="4" t="str">
        <f t="shared" si="9"/>
        <v>PMG - BB - Tallinn - Haapsalu 37,5 km</v>
      </c>
      <c r="V291" s="40">
        <v>44562</v>
      </c>
      <c r="W291" s="31"/>
    </row>
    <row r="292" spans="1:23" ht="15" x14ac:dyDescent="0.25">
      <c r="A292" s="4" t="s">
        <v>13</v>
      </c>
      <c r="B292" s="4" t="s">
        <v>644</v>
      </c>
      <c r="C292" s="4"/>
      <c r="D292" s="4"/>
      <c r="E292" s="4" t="s">
        <v>0</v>
      </c>
      <c r="F292" s="4" t="s">
        <v>0</v>
      </c>
      <c r="G292" s="4" t="s">
        <v>645</v>
      </c>
      <c r="H292" s="18">
        <v>1</v>
      </c>
      <c r="I292" s="4" t="s">
        <v>645</v>
      </c>
      <c r="J292" s="4"/>
      <c r="K292" s="4" t="s">
        <v>689</v>
      </c>
      <c r="L292" s="4"/>
      <c r="M292" s="4"/>
      <c r="N292" s="24">
        <v>24.763598000000002</v>
      </c>
      <c r="O292" s="24">
        <v>59.433115999999998</v>
      </c>
      <c r="P292" s="4" t="s">
        <v>756</v>
      </c>
      <c r="Q292" s="4" t="s">
        <v>644</v>
      </c>
      <c r="R292" s="4"/>
      <c r="S292" s="4"/>
      <c r="T292" s="4" t="str">
        <f t="shared" si="8"/>
        <v>PMG - Linnasambad  -  - Tartu mnt ja Pronksi tn nurk (If Kindlustuse ees) valgustatud - 1</v>
      </c>
      <c r="U292" s="4" t="str">
        <f t="shared" si="9"/>
        <v>PMG - Linnasambad  - Tartu mnt ja Pronksi tn nurk (If Kindlustuse ees) valgustatud</v>
      </c>
      <c r="V292" s="40">
        <v>44562</v>
      </c>
      <c r="W292" s="31"/>
    </row>
    <row r="293" spans="1:23" ht="15" x14ac:dyDescent="0.25">
      <c r="A293" s="4" t="s">
        <v>13</v>
      </c>
      <c r="B293" s="4" t="s">
        <v>644</v>
      </c>
      <c r="C293" s="4"/>
      <c r="D293" s="4"/>
      <c r="E293" s="4" t="s">
        <v>0</v>
      </c>
      <c r="F293" s="4" t="s">
        <v>0</v>
      </c>
      <c r="G293" s="4" t="s">
        <v>646</v>
      </c>
      <c r="H293" s="18">
        <v>1</v>
      </c>
      <c r="I293" s="4" t="s">
        <v>646</v>
      </c>
      <c r="J293" s="4"/>
      <c r="K293" s="4" t="s">
        <v>690</v>
      </c>
      <c r="L293" s="4"/>
      <c r="M293" s="4"/>
      <c r="N293" s="24">
        <v>24.774543000000001</v>
      </c>
      <c r="O293" s="24">
        <v>59.438814999999998</v>
      </c>
      <c r="P293" s="4" t="s">
        <v>757</v>
      </c>
      <c r="Q293" s="4" t="s">
        <v>644</v>
      </c>
      <c r="R293" s="4"/>
      <c r="S293" s="4"/>
      <c r="T293" s="4" t="str">
        <f t="shared" si="8"/>
        <v>PMG - Linnasambad  -  - Narva mnt Raua ja Vilmsi nurk valgustatud - 1</v>
      </c>
      <c r="U293" s="4" t="str">
        <f t="shared" si="9"/>
        <v>PMG - Linnasambad  - Narva mnt Raua ja Vilmsi nurk valgustatud</v>
      </c>
      <c r="V293" s="40">
        <v>44562</v>
      </c>
      <c r="W293" s="31"/>
    </row>
    <row r="294" spans="1:23" ht="15" x14ac:dyDescent="0.25">
      <c r="A294" s="4" t="s">
        <v>13</v>
      </c>
      <c r="B294" s="4" t="s">
        <v>644</v>
      </c>
      <c r="C294" s="4"/>
      <c r="D294" s="4"/>
      <c r="E294" s="4" t="s">
        <v>0</v>
      </c>
      <c r="F294" s="4" t="s">
        <v>0</v>
      </c>
      <c r="G294" s="4" t="s">
        <v>647</v>
      </c>
      <c r="H294" s="18">
        <v>1</v>
      </c>
      <c r="I294" s="4" t="s">
        <v>647</v>
      </c>
      <c r="J294" s="4"/>
      <c r="K294" s="4" t="s">
        <v>691</v>
      </c>
      <c r="L294" s="4"/>
      <c r="M294" s="4"/>
      <c r="N294" s="24">
        <v>24.774706999999999</v>
      </c>
      <c r="O294" s="24">
        <v>59.439165000000003</v>
      </c>
      <c r="P294" s="4" t="s">
        <v>758</v>
      </c>
      <c r="Q294" s="4" t="s">
        <v>644</v>
      </c>
      <c r="R294" s="4"/>
      <c r="S294" s="4"/>
      <c r="T294" s="4" t="str">
        <f t="shared" si="8"/>
        <v>PMG - Linnasambad  -  - Narva mnt ja Petrooleumi nurgal - 1</v>
      </c>
      <c r="U294" s="4" t="str">
        <f t="shared" si="9"/>
        <v>PMG - Linnasambad  - Narva mnt ja Petrooleumi nurgal</v>
      </c>
      <c r="V294" s="40">
        <v>44562</v>
      </c>
      <c r="W294" s="31"/>
    </row>
    <row r="295" spans="1:23" ht="15" x14ac:dyDescent="0.25">
      <c r="A295" s="4" t="s">
        <v>13</v>
      </c>
      <c r="B295" s="4" t="s">
        <v>644</v>
      </c>
      <c r="C295" s="4"/>
      <c r="D295" s="4"/>
      <c r="E295" s="4" t="s">
        <v>0</v>
      </c>
      <c r="F295" s="4" t="s">
        <v>0</v>
      </c>
      <c r="G295" s="4" t="s">
        <v>648</v>
      </c>
      <c r="H295" s="18">
        <v>1</v>
      </c>
      <c r="I295" s="4" t="s">
        <v>648</v>
      </c>
      <c r="J295" s="4"/>
      <c r="K295" s="4" t="s">
        <v>692</v>
      </c>
      <c r="L295" s="4"/>
      <c r="M295" s="4"/>
      <c r="N295" s="24">
        <v>24.747968</v>
      </c>
      <c r="O295" s="24">
        <v>59.427841000000001</v>
      </c>
      <c r="P295" s="4" t="s">
        <v>759</v>
      </c>
      <c r="Q295" s="4" t="s">
        <v>644</v>
      </c>
      <c r="R295" s="4"/>
      <c r="S295" s="4"/>
      <c r="T295" s="4" t="str">
        <f t="shared" si="8"/>
        <v>PMG - Linnasambad  -  - Liivalaia ja Veerenni nurgal - 1</v>
      </c>
      <c r="U295" s="4" t="str">
        <f t="shared" si="9"/>
        <v>PMG - Linnasambad  - Liivalaia ja Veerenni nurgal</v>
      </c>
      <c r="V295" s="40">
        <v>44562</v>
      </c>
      <c r="W295" s="31"/>
    </row>
    <row r="296" spans="1:23" ht="15" x14ac:dyDescent="0.25">
      <c r="A296" s="4" t="s">
        <v>13</v>
      </c>
      <c r="B296" s="4" t="s">
        <v>644</v>
      </c>
      <c r="C296" s="4"/>
      <c r="D296" s="4"/>
      <c r="E296" s="4" t="s">
        <v>0</v>
      </c>
      <c r="F296" s="4" t="s">
        <v>0</v>
      </c>
      <c r="G296" s="4" t="s">
        <v>649</v>
      </c>
      <c r="H296" s="18">
        <v>1</v>
      </c>
      <c r="I296" s="4" t="s">
        <v>649</v>
      </c>
      <c r="J296" s="4"/>
      <c r="K296" s="4" t="s">
        <v>693</v>
      </c>
      <c r="L296" s="4"/>
      <c r="M296" s="4"/>
      <c r="N296" s="24">
        <v>24.748885999999999</v>
      </c>
      <c r="O296" s="24">
        <v>59.427992000000003</v>
      </c>
      <c r="P296" s="4" t="s">
        <v>760</v>
      </c>
      <c r="Q296" s="4" t="s">
        <v>644</v>
      </c>
      <c r="R296" s="4"/>
      <c r="S296" s="4"/>
      <c r="T296" s="4" t="str">
        <f t="shared" si="8"/>
        <v>PMG - Linnasambad  -  - Liivalaia 24 ees (Kohtumaja) 11,7 m2 valgustatud - 1</v>
      </c>
      <c r="U296" s="4" t="str">
        <f t="shared" si="9"/>
        <v>PMG - Linnasambad  - Liivalaia 24 ees (Kohtumaja) 11,7 m2 valgustatud</v>
      </c>
      <c r="V296" s="40">
        <v>44562</v>
      </c>
      <c r="W296" s="31"/>
    </row>
    <row r="297" spans="1:23" ht="15" x14ac:dyDescent="0.25">
      <c r="A297" s="4" t="s">
        <v>13</v>
      </c>
      <c r="B297" s="4" t="s">
        <v>644</v>
      </c>
      <c r="C297" s="4"/>
      <c r="D297" s="4"/>
      <c r="E297" s="4" t="s">
        <v>0</v>
      </c>
      <c r="F297" s="4" t="s">
        <v>0</v>
      </c>
      <c r="G297" s="4" t="s">
        <v>650</v>
      </c>
      <c r="H297" s="18">
        <v>1</v>
      </c>
      <c r="I297" s="4" t="s">
        <v>650</v>
      </c>
      <c r="J297" s="4"/>
      <c r="K297" s="4" t="s">
        <v>694</v>
      </c>
      <c r="L297" s="4"/>
      <c r="M297" s="4"/>
      <c r="N297" s="24">
        <v>24.755566999999999</v>
      </c>
      <c r="O297" s="24">
        <v>59.429099999999998</v>
      </c>
      <c r="P297" s="4" t="s">
        <v>761</v>
      </c>
      <c r="Q297" s="4" t="s">
        <v>644</v>
      </c>
      <c r="R297" s="4"/>
      <c r="S297" s="4"/>
      <c r="T297" s="4" t="str">
        <f t="shared" si="8"/>
        <v>PMG - Linnasambad  -  - Liivalaia 32 (Lastgepolikliiniku ees) - 1</v>
      </c>
      <c r="U297" s="4" t="str">
        <f t="shared" si="9"/>
        <v>PMG - Linnasambad  - Liivalaia 32 (Lastgepolikliiniku ees)</v>
      </c>
      <c r="V297" s="40">
        <v>44562</v>
      </c>
      <c r="W297" s="31"/>
    </row>
    <row r="298" spans="1:23" ht="15" x14ac:dyDescent="0.25">
      <c r="A298" s="4" t="s">
        <v>13</v>
      </c>
      <c r="B298" s="4" t="s">
        <v>644</v>
      </c>
      <c r="C298" s="4"/>
      <c r="D298" s="4"/>
      <c r="E298" s="4" t="s">
        <v>0</v>
      </c>
      <c r="F298" s="4" t="s">
        <v>0</v>
      </c>
      <c r="G298" s="4" t="s">
        <v>651</v>
      </c>
      <c r="H298" s="18">
        <v>1</v>
      </c>
      <c r="I298" s="4" t="s">
        <v>651</v>
      </c>
      <c r="J298" s="4"/>
      <c r="K298" s="4" t="s">
        <v>695</v>
      </c>
      <c r="L298" s="4"/>
      <c r="M298" s="4"/>
      <c r="N298" s="24">
        <v>24.769181</v>
      </c>
      <c r="O298" s="24">
        <v>59.438296999999999</v>
      </c>
      <c r="P298" s="4" t="s">
        <v>762</v>
      </c>
      <c r="Q298" s="4" t="s">
        <v>644</v>
      </c>
      <c r="R298" s="4"/>
      <c r="S298" s="4"/>
      <c r="T298" s="4" t="str">
        <f t="shared" si="8"/>
        <v>PMG - Linnasambad  -  - Narva mnt 19 ees (Kodutarve ees) valgustatud - 1</v>
      </c>
      <c r="U298" s="4" t="str">
        <f t="shared" si="9"/>
        <v>PMG - Linnasambad  - Narva mnt 19 ees (Kodutarve ees) valgustatud</v>
      </c>
      <c r="V298" s="40">
        <v>44562</v>
      </c>
      <c r="W298" s="31"/>
    </row>
    <row r="299" spans="1:23" ht="15" x14ac:dyDescent="0.25">
      <c r="A299" s="4" t="s">
        <v>13</v>
      </c>
      <c r="B299" s="4" t="s">
        <v>644</v>
      </c>
      <c r="C299" s="4"/>
      <c r="D299" s="4"/>
      <c r="E299" s="4" t="s">
        <v>0</v>
      </c>
      <c r="F299" s="4" t="s">
        <v>0</v>
      </c>
      <c r="G299" s="4" t="s">
        <v>652</v>
      </c>
      <c r="H299" s="18">
        <v>1</v>
      </c>
      <c r="I299" s="4" t="s">
        <v>652</v>
      </c>
      <c r="J299" s="4"/>
      <c r="K299" s="4" t="s">
        <v>696</v>
      </c>
      <c r="L299" s="4"/>
      <c r="M299" s="4"/>
      <c r="N299" s="24">
        <v>24.775794999999999</v>
      </c>
      <c r="O299" s="24">
        <v>59.428128999999998</v>
      </c>
      <c r="P299" s="4" t="s">
        <v>763</v>
      </c>
      <c r="Q299" s="4" t="s">
        <v>644</v>
      </c>
      <c r="R299" s="4"/>
      <c r="S299" s="4"/>
      <c r="T299" s="4" t="str">
        <f t="shared" si="8"/>
        <v>PMG - Linnasambad  -  - Tartu mnt Odra ristmik valgustatud - 1</v>
      </c>
      <c r="U299" s="4" t="str">
        <f t="shared" si="9"/>
        <v>PMG - Linnasambad  - Tartu mnt Odra ristmik valgustatud</v>
      </c>
      <c r="V299" s="40">
        <v>44562</v>
      </c>
      <c r="W299" s="31"/>
    </row>
    <row r="300" spans="1:23" ht="15" x14ac:dyDescent="0.25">
      <c r="A300" s="4" t="s">
        <v>13</v>
      </c>
      <c r="B300" s="4" t="s">
        <v>644</v>
      </c>
      <c r="C300" s="4"/>
      <c r="D300" s="4"/>
      <c r="E300" s="4" t="s">
        <v>0</v>
      </c>
      <c r="F300" s="4" t="s">
        <v>0</v>
      </c>
      <c r="G300" s="4" t="s">
        <v>653</v>
      </c>
      <c r="H300" s="18">
        <v>1</v>
      </c>
      <c r="I300" s="4" t="s">
        <v>653</v>
      </c>
      <c r="J300" s="4"/>
      <c r="K300" s="4" t="s">
        <v>697</v>
      </c>
      <c r="L300" s="4"/>
      <c r="M300" s="4"/>
      <c r="N300" s="24">
        <v>24.742048</v>
      </c>
      <c r="O300" s="24">
        <v>59.427368000000001</v>
      </c>
      <c r="P300" s="4" t="s">
        <v>764</v>
      </c>
      <c r="Q300" s="4" t="s">
        <v>644</v>
      </c>
      <c r="R300" s="4"/>
      <c r="S300" s="4"/>
      <c r="T300" s="4" t="str">
        <f t="shared" si="8"/>
        <v>PMG - Linnasambad  -  - Pärnu mnt ja Suur - Ameerika nurgal valgustatud - 1</v>
      </c>
      <c r="U300" s="4" t="str">
        <f t="shared" si="9"/>
        <v>PMG - Linnasambad  - Pärnu mnt ja Suur - Ameerika nurgal valgustatud</v>
      </c>
      <c r="V300" s="40">
        <v>44562</v>
      </c>
      <c r="W300" s="31"/>
    </row>
    <row r="301" spans="1:23" ht="15" x14ac:dyDescent="0.25">
      <c r="A301" s="4" t="s">
        <v>13</v>
      </c>
      <c r="B301" s="4" t="s">
        <v>644</v>
      </c>
      <c r="C301" s="4"/>
      <c r="D301" s="4"/>
      <c r="E301" s="4" t="s">
        <v>0</v>
      </c>
      <c r="F301" s="4" t="s">
        <v>0</v>
      </c>
      <c r="G301" s="4" t="s">
        <v>654</v>
      </c>
      <c r="H301" s="18">
        <v>1</v>
      </c>
      <c r="I301" s="4" t="s">
        <v>654</v>
      </c>
      <c r="J301" s="4"/>
      <c r="K301" s="4" t="s">
        <v>698</v>
      </c>
      <c r="L301" s="4"/>
      <c r="M301" s="4"/>
      <c r="N301" s="24">
        <v>24.775967999999999</v>
      </c>
      <c r="O301" s="24">
        <v>59.438963000000001</v>
      </c>
      <c r="P301" s="4" t="s">
        <v>765</v>
      </c>
      <c r="Q301" s="4" t="s">
        <v>644</v>
      </c>
      <c r="R301" s="4"/>
      <c r="S301" s="4"/>
      <c r="T301" s="4" t="str">
        <f t="shared" si="8"/>
        <v>PMG - Linnasambad  -  - Narva mnt ja Weizenbergi nurgal valgustatud - 1</v>
      </c>
      <c r="U301" s="4" t="str">
        <f t="shared" si="9"/>
        <v>PMG - Linnasambad  - Narva mnt ja Weizenbergi nurgal valgustatud</v>
      </c>
      <c r="V301" s="40">
        <v>44562</v>
      </c>
      <c r="W301" s="31"/>
    </row>
    <row r="302" spans="1:23" ht="15" x14ac:dyDescent="0.25">
      <c r="A302" s="4" t="s">
        <v>13</v>
      </c>
      <c r="B302" s="4" t="s">
        <v>644</v>
      </c>
      <c r="C302" s="4"/>
      <c r="D302" s="4"/>
      <c r="E302" s="4" t="s">
        <v>0</v>
      </c>
      <c r="F302" s="4" t="s">
        <v>0</v>
      </c>
      <c r="G302" s="4" t="s">
        <v>655</v>
      </c>
      <c r="H302" s="18">
        <v>1</v>
      </c>
      <c r="I302" s="4" t="s">
        <v>655</v>
      </c>
      <c r="J302" s="4"/>
      <c r="K302" s="4" t="s">
        <v>699</v>
      </c>
      <c r="L302" s="4"/>
      <c r="M302" s="4"/>
      <c r="N302" s="24">
        <v>24.742176000000001</v>
      </c>
      <c r="O302" s="24">
        <v>59.426600999999998</v>
      </c>
      <c r="P302" s="4" t="s">
        <v>766</v>
      </c>
      <c r="Q302" s="4" t="s">
        <v>644</v>
      </c>
      <c r="R302" s="4"/>
      <c r="S302" s="4"/>
      <c r="T302" s="4" t="str">
        <f t="shared" si="8"/>
        <v>PMG - Linnasambad  -  - Pärnu mnt ja Väike - Ameerika nurgal - 1</v>
      </c>
      <c r="U302" s="4" t="str">
        <f t="shared" si="9"/>
        <v>PMG - Linnasambad  - Pärnu mnt ja Väike - Ameerika nurgal</v>
      </c>
      <c r="V302" s="40">
        <v>44562</v>
      </c>
      <c r="W302" s="31"/>
    </row>
    <row r="303" spans="1:23" ht="15" x14ac:dyDescent="0.25">
      <c r="A303" s="4" t="s">
        <v>13</v>
      </c>
      <c r="B303" s="4" t="s">
        <v>644</v>
      </c>
      <c r="C303" s="4"/>
      <c r="D303" s="4"/>
      <c r="E303" s="4" t="s">
        <v>0</v>
      </c>
      <c r="F303" s="4" t="s">
        <v>0</v>
      </c>
      <c r="G303" s="4" t="s">
        <v>656</v>
      </c>
      <c r="H303" s="18">
        <v>1</v>
      </c>
      <c r="I303" s="4" t="s">
        <v>656</v>
      </c>
      <c r="J303" s="4"/>
      <c r="K303" s="4" t="s">
        <v>700</v>
      </c>
      <c r="L303" s="4"/>
      <c r="M303" s="4"/>
      <c r="N303" s="24">
        <v>24.745729999999998</v>
      </c>
      <c r="O303" s="24">
        <v>59.427799</v>
      </c>
      <c r="P303" s="4" t="s">
        <v>767</v>
      </c>
      <c r="Q303" s="4" t="s">
        <v>644</v>
      </c>
      <c r="R303" s="4"/>
      <c r="S303" s="4"/>
      <c r="T303" s="4" t="str">
        <f t="shared" si="8"/>
        <v>PMG - Linnasambad  -  - Liivalaia 5 ja 7 nurgal jalakäijate tunneli juures valgustatud - 1</v>
      </c>
      <c r="U303" s="4" t="str">
        <f t="shared" si="9"/>
        <v>PMG - Linnasambad  - Liivalaia 5 ja 7 nurgal jalakäijate tunneli juures valgustatud</v>
      </c>
      <c r="V303" s="40">
        <v>44562</v>
      </c>
      <c r="W303" s="31"/>
    </row>
    <row r="304" spans="1:23" ht="15" x14ac:dyDescent="0.25">
      <c r="A304" s="4" t="s">
        <v>13</v>
      </c>
      <c r="B304" s="4" t="s">
        <v>644</v>
      </c>
      <c r="C304" s="4"/>
      <c r="D304" s="4"/>
      <c r="E304" s="4" t="s">
        <v>0</v>
      </c>
      <c r="F304" s="4" t="s">
        <v>0</v>
      </c>
      <c r="G304" s="4" t="s">
        <v>657</v>
      </c>
      <c r="H304" s="18">
        <v>1</v>
      </c>
      <c r="I304" s="4" t="s">
        <v>657</v>
      </c>
      <c r="J304" s="4"/>
      <c r="K304" s="4" t="s">
        <v>701</v>
      </c>
      <c r="L304" s="4"/>
      <c r="M304" s="4"/>
      <c r="N304" s="24">
        <v>24.759188000000002</v>
      </c>
      <c r="O304" s="24">
        <v>59.437381999999999</v>
      </c>
      <c r="P304" s="4" t="s">
        <v>768</v>
      </c>
      <c r="Q304" s="4" t="s">
        <v>644</v>
      </c>
      <c r="R304" s="4"/>
      <c r="S304" s="4"/>
      <c r="T304" s="4" t="str">
        <f t="shared" si="8"/>
        <v>PMG - Linnasambad  -  - Narva mnt 7c ees - 1</v>
      </c>
      <c r="U304" s="4" t="str">
        <f t="shared" si="9"/>
        <v>PMG - Linnasambad  - Narva mnt 7c ees</v>
      </c>
      <c r="V304" s="40">
        <v>44562</v>
      </c>
      <c r="W304" s="31"/>
    </row>
    <row r="305" spans="1:23" ht="15" x14ac:dyDescent="0.25">
      <c r="A305" s="4" t="s">
        <v>13</v>
      </c>
      <c r="B305" s="4" t="s">
        <v>644</v>
      </c>
      <c r="C305" s="4"/>
      <c r="D305" s="4"/>
      <c r="E305" s="4" t="s">
        <v>0</v>
      </c>
      <c r="F305" s="4" t="s">
        <v>0</v>
      </c>
      <c r="G305" s="4" t="s">
        <v>658</v>
      </c>
      <c r="H305" s="18">
        <v>1</v>
      </c>
      <c r="I305" s="4" t="s">
        <v>658</v>
      </c>
      <c r="J305" s="4"/>
      <c r="K305" s="4" t="s">
        <v>702</v>
      </c>
      <c r="L305" s="4"/>
      <c r="M305" s="4"/>
      <c r="N305" s="24">
        <v>24.774616999999999</v>
      </c>
      <c r="O305" s="24">
        <v>59.427729999999997</v>
      </c>
      <c r="P305" s="4" t="s">
        <v>769</v>
      </c>
      <c r="Q305" s="4" t="s">
        <v>644</v>
      </c>
      <c r="R305" s="4"/>
      <c r="S305" s="4"/>
      <c r="T305" s="4" t="str">
        <f t="shared" si="8"/>
        <v>PMG - Linnasambad  -  - Odra tn Bussijaama juures valgustatud - 1</v>
      </c>
      <c r="U305" s="4" t="str">
        <f t="shared" si="9"/>
        <v>PMG - Linnasambad  - Odra tn Bussijaama juures valgustatud</v>
      </c>
      <c r="V305" s="40">
        <v>44562</v>
      </c>
      <c r="W305" s="31"/>
    </row>
    <row r="306" spans="1:23" ht="15" x14ac:dyDescent="0.25">
      <c r="A306" s="4" t="s">
        <v>13</v>
      </c>
      <c r="B306" s="4" t="s">
        <v>644</v>
      </c>
      <c r="C306" s="4"/>
      <c r="D306" s="4"/>
      <c r="E306" s="4" t="s">
        <v>0</v>
      </c>
      <c r="F306" s="4" t="s">
        <v>0</v>
      </c>
      <c r="G306" s="4" t="s">
        <v>659</v>
      </c>
      <c r="H306" s="18">
        <v>1</v>
      </c>
      <c r="I306" s="4" t="s">
        <v>659</v>
      </c>
      <c r="J306" s="4"/>
      <c r="K306" s="4" t="s">
        <v>703</v>
      </c>
      <c r="L306" s="4"/>
      <c r="M306" s="4"/>
      <c r="N306" s="24">
        <v>24.764471</v>
      </c>
      <c r="O306" s="24">
        <v>59.428074000000002</v>
      </c>
      <c r="P306" s="4" t="s">
        <v>770</v>
      </c>
      <c r="Q306" s="4" t="s">
        <v>644</v>
      </c>
      <c r="R306" s="4"/>
      <c r="S306" s="4"/>
      <c r="T306" s="4" t="str">
        <f t="shared" si="8"/>
        <v>PMG - Linnasambad  -  - Juhkentali Püssirohu bussipeatus valgustatud - 1</v>
      </c>
      <c r="U306" s="4" t="str">
        <f t="shared" si="9"/>
        <v>PMG - Linnasambad  - Juhkentali Püssirohu bussipeatus valgustatud</v>
      </c>
      <c r="V306" s="40">
        <v>44562</v>
      </c>
      <c r="W306" s="31"/>
    </row>
    <row r="307" spans="1:23" ht="15" x14ac:dyDescent="0.25">
      <c r="A307" s="4" t="s">
        <v>13</v>
      </c>
      <c r="B307" s="4" t="s">
        <v>644</v>
      </c>
      <c r="C307" s="4"/>
      <c r="D307" s="4"/>
      <c r="E307" s="4" t="s">
        <v>0</v>
      </c>
      <c r="F307" s="4" t="s">
        <v>0</v>
      </c>
      <c r="G307" s="4" t="s">
        <v>660</v>
      </c>
      <c r="H307" s="18">
        <v>1</v>
      </c>
      <c r="I307" s="4" t="s">
        <v>660</v>
      </c>
      <c r="J307" s="4"/>
      <c r="K307" s="4" t="s">
        <v>704</v>
      </c>
      <c r="L307" s="4"/>
      <c r="M307" s="4"/>
      <c r="N307" s="24">
        <v>24.759889000000001</v>
      </c>
      <c r="O307" s="24">
        <v>59.434496000000003</v>
      </c>
      <c r="P307" s="4" t="s">
        <v>771</v>
      </c>
      <c r="Q307" s="4" t="s">
        <v>644</v>
      </c>
      <c r="R307" s="4"/>
      <c r="S307" s="4"/>
      <c r="T307" s="4" t="str">
        <f t="shared" si="8"/>
        <v>PMG - Linnasambad  -  - Tartu mnt ja Kivisilla tn nurgal (DnB Nord Panga juures) - 1</v>
      </c>
      <c r="U307" s="4" t="str">
        <f t="shared" si="9"/>
        <v>PMG - Linnasambad  - Tartu mnt ja Kivisilla tn nurgal (DnB Nord Panga juures)</v>
      </c>
      <c r="V307" s="40">
        <v>44562</v>
      </c>
      <c r="W307" s="31"/>
    </row>
    <row r="308" spans="1:23" ht="15" x14ac:dyDescent="0.25">
      <c r="A308" s="4" t="s">
        <v>13</v>
      </c>
      <c r="B308" s="4" t="s">
        <v>644</v>
      </c>
      <c r="C308" s="4"/>
      <c r="D308" s="4"/>
      <c r="E308" s="4" t="s">
        <v>0</v>
      </c>
      <c r="F308" s="4" t="s">
        <v>0</v>
      </c>
      <c r="G308" s="4" t="s">
        <v>661</v>
      </c>
      <c r="H308" s="18">
        <v>1</v>
      </c>
      <c r="I308" s="4" t="s">
        <v>661</v>
      </c>
      <c r="J308" s="4"/>
      <c r="K308" s="4" t="s">
        <v>705</v>
      </c>
      <c r="L308" s="4"/>
      <c r="M308" s="4"/>
      <c r="N308" s="24">
        <v>24.770209000000001</v>
      </c>
      <c r="O308" s="24">
        <v>59.438443999999997</v>
      </c>
      <c r="P308" s="4" t="s">
        <v>772</v>
      </c>
      <c r="Q308" s="4" t="s">
        <v>644</v>
      </c>
      <c r="R308" s="4"/>
      <c r="S308" s="4"/>
      <c r="T308" s="4" t="str">
        <f t="shared" si="8"/>
        <v>PMG - Linnasambad  -  - Narva mnt Kodutarve ees - 1</v>
      </c>
      <c r="U308" s="4" t="str">
        <f t="shared" si="9"/>
        <v>PMG - Linnasambad  - Narva mnt Kodutarve ees</v>
      </c>
      <c r="V308" s="40">
        <v>44562</v>
      </c>
      <c r="W308" s="31"/>
    </row>
    <row r="309" spans="1:23" ht="15" x14ac:dyDescent="0.25">
      <c r="A309" s="4" t="s">
        <v>13</v>
      </c>
      <c r="B309" s="4" t="s">
        <v>644</v>
      </c>
      <c r="C309" s="4"/>
      <c r="D309" s="4"/>
      <c r="E309" s="4" t="s">
        <v>0</v>
      </c>
      <c r="F309" s="4" t="s">
        <v>0</v>
      </c>
      <c r="G309" s="4" t="s">
        <v>662</v>
      </c>
      <c r="H309" s="18">
        <v>1</v>
      </c>
      <c r="I309" s="4" t="s">
        <v>662</v>
      </c>
      <c r="J309" s="4"/>
      <c r="K309" s="4" t="s">
        <v>706</v>
      </c>
      <c r="L309" s="4"/>
      <c r="M309" s="4"/>
      <c r="N309" s="24">
        <v>24.743031999999999</v>
      </c>
      <c r="O309" s="24">
        <v>59.428626000000001</v>
      </c>
      <c r="P309" s="4" t="s">
        <v>773</v>
      </c>
      <c r="Q309" s="4" t="s">
        <v>644</v>
      </c>
      <c r="R309" s="4"/>
      <c r="S309" s="4"/>
      <c r="T309" s="4" t="str">
        <f t="shared" si="8"/>
        <v>PMG - Linnasambad  -  - Pärnu mnt Kino Kosmos ees valgustatud - 1</v>
      </c>
      <c r="U309" s="4" t="str">
        <f t="shared" si="9"/>
        <v>PMG - Linnasambad  - Pärnu mnt Kino Kosmos ees valgustatud</v>
      </c>
      <c r="V309" s="40">
        <v>44562</v>
      </c>
      <c r="W309" s="31"/>
    </row>
    <row r="310" spans="1:23" ht="15" x14ac:dyDescent="0.25">
      <c r="A310" s="4" t="s">
        <v>13</v>
      </c>
      <c r="B310" s="4" t="s">
        <v>644</v>
      </c>
      <c r="C310" s="4"/>
      <c r="D310" s="4"/>
      <c r="E310" s="4" t="s">
        <v>0</v>
      </c>
      <c r="F310" s="4" t="s">
        <v>0</v>
      </c>
      <c r="G310" s="4" t="s">
        <v>663</v>
      </c>
      <c r="H310" s="18">
        <v>1</v>
      </c>
      <c r="I310" s="4" t="s">
        <v>663</v>
      </c>
      <c r="J310" s="4"/>
      <c r="K310" s="4" t="s">
        <v>707</v>
      </c>
      <c r="L310" s="4"/>
      <c r="M310" s="4"/>
      <c r="N310" s="24">
        <v>24.736225999999998</v>
      </c>
      <c r="O310" s="24">
        <v>59.410012999999999</v>
      </c>
      <c r="P310" s="4" t="s">
        <v>774</v>
      </c>
      <c r="Q310" s="4" t="s">
        <v>644</v>
      </c>
      <c r="R310" s="4"/>
      <c r="S310" s="4"/>
      <c r="T310" s="4" t="str">
        <f t="shared" si="8"/>
        <v>PMG - Linnasambad  -  - Pärnu mnt 146 ees valgustatud - 1</v>
      </c>
      <c r="U310" s="4" t="str">
        <f t="shared" si="9"/>
        <v>PMG - Linnasambad  - Pärnu mnt 146 ees valgustatud</v>
      </c>
      <c r="V310" s="40">
        <v>44562</v>
      </c>
      <c r="W310" s="31"/>
    </row>
    <row r="311" spans="1:23" ht="15" x14ac:dyDescent="0.25">
      <c r="A311" s="4" t="s">
        <v>13</v>
      </c>
      <c r="B311" s="4" t="s">
        <v>644</v>
      </c>
      <c r="C311" s="4"/>
      <c r="D311" s="4"/>
      <c r="E311" s="4" t="s">
        <v>0</v>
      </c>
      <c r="F311" s="4" t="s">
        <v>0</v>
      </c>
      <c r="G311" s="4" t="s">
        <v>664</v>
      </c>
      <c r="H311" s="18">
        <v>1</v>
      </c>
      <c r="I311" s="4" t="s">
        <v>664</v>
      </c>
      <c r="J311" s="4"/>
      <c r="K311" s="4" t="s">
        <v>708</v>
      </c>
      <c r="L311" s="4"/>
      <c r="M311" s="4"/>
      <c r="N311" s="24">
        <v>24.740241000000001</v>
      </c>
      <c r="O311" s="24">
        <v>59.415768999999997</v>
      </c>
      <c r="P311" s="4" t="s">
        <v>775</v>
      </c>
      <c r="Q311" s="4" t="s">
        <v>644</v>
      </c>
      <c r="R311" s="4"/>
      <c r="S311" s="4"/>
      <c r="T311" s="4" t="str">
        <f t="shared" si="8"/>
        <v>PMG - Linnasambad  -  - Pärnu mnt 113 Magdaleena Haigla vastas - 1</v>
      </c>
      <c r="U311" s="4" t="str">
        <f t="shared" si="9"/>
        <v>PMG - Linnasambad  - Pärnu mnt 113 Magdaleena Haigla vastas</v>
      </c>
      <c r="V311" s="40">
        <v>44562</v>
      </c>
      <c r="W311" s="31"/>
    </row>
    <row r="312" spans="1:23" ht="15" x14ac:dyDescent="0.25">
      <c r="A312" s="4" t="s">
        <v>13</v>
      </c>
      <c r="B312" s="4" t="s">
        <v>782</v>
      </c>
      <c r="C312" s="4"/>
      <c r="D312" s="4"/>
      <c r="E312" s="4" t="s">
        <v>0</v>
      </c>
      <c r="F312" s="4" t="s">
        <v>0</v>
      </c>
      <c r="G312" s="18" t="s">
        <v>783</v>
      </c>
      <c r="H312" s="18">
        <v>1</v>
      </c>
      <c r="I312" s="4" t="s">
        <v>819</v>
      </c>
      <c r="J312" s="4"/>
      <c r="K312" s="4"/>
      <c r="L312" s="4"/>
      <c r="M312" s="4"/>
      <c r="N312" s="25">
        <v>24.757821</v>
      </c>
      <c r="O312" s="25">
        <v>59.437601999999998</v>
      </c>
      <c r="P312" s="4" t="s">
        <v>847</v>
      </c>
      <c r="Q312" s="4" t="s">
        <v>782</v>
      </c>
      <c r="R312" s="4"/>
      <c r="S312" s="4"/>
      <c r="T312" s="4" t="str">
        <f t="shared" si="8"/>
        <v>PMG - Digiekraanid -  - Foorum LED (audio) - 1</v>
      </c>
      <c r="U312" s="4" t="str">
        <f t="shared" si="9"/>
        <v>PMG - Digiekraanid - Foorum LED (audio)</v>
      </c>
      <c r="V312" s="40">
        <v>44562</v>
      </c>
      <c r="W312" s="31"/>
    </row>
    <row r="313" spans="1:23" ht="15" x14ac:dyDescent="0.25">
      <c r="A313" s="4" t="s">
        <v>13</v>
      </c>
      <c r="B313" s="4" t="s">
        <v>782</v>
      </c>
      <c r="C313" s="4"/>
      <c r="D313" s="4"/>
      <c r="E313" s="4" t="s">
        <v>0</v>
      </c>
      <c r="F313" s="4" t="s">
        <v>0</v>
      </c>
      <c r="G313" s="18" t="s">
        <v>784</v>
      </c>
      <c r="H313" s="18">
        <v>1</v>
      </c>
      <c r="I313" s="4" t="s">
        <v>820</v>
      </c>
      <c r="J313" s="4"/>
      <c r="K313" s="4"/>
      <c r="L313" s="4"/>
      <c r="M313" s="4"/>
      <c r="N313" s="25">
        <v>24.720897000000001</v>
      </c>
      <c r="O313" s="25">
        <v>59.393313999999997</v>
      </c>
      <c r="P313" s="4" t="s">
        <v>848</v>
      </c>
      <c r="Q313" s="4" t="s">
        <v>782</v>
      </c>
      <c r="R313" s="4"/>
      <c r="S313" s="4"/>
      <c r="T313" s="4" t="str">
        <f t="shared" si="8"/>
        <v>PMG - Digiekraanid -  - Järve LED (audio) - 1</v>
      </c>
      <c r="U313" s="4" t="str">
        <f t="shared" si="9"/>
        <v>PMG - Digiekraanid - Järve LED (audio)</v>
      </c>
      <c r="V313" s="40">
        <v>44562</v>
      </c>
      <c r="W313" s="31"/>
    </row>
    <row r="314" spans="1:23" ht="15" x14ac:dyDescent="0.25">
      <c r="A314" s="4" t="s">
        <v>13</v>
      </c>
      <c r="B314" s="4" t="s">
        <v>782</v>
      </c>
      <c r="C314" s="4"/>
      <c r="D314" s="4"/>
      <c r="E314" s="4" t="s">
        <v>0</v>
      </c>
      <c r="F314" s="4" t="s">
        <v>0</v>
      </c>
      <c r="G314" s="18" t="s">
        <v>785</v>
      </c>
      <c r="H314" s="18">
        <v>1</v>
      </c>
      <c r="I314" s="4" t="s">
        <v>821</v>
      </c>
      <c r="J314" s="4"/>
      <c r="K314" s="4"/>
      <c r="L314" s="4"/>
      <c r="M314" s="4"/>
      <c r="N314" s="25">
        <v>24.86373</v>
      </c>
      <c r="O314" s="25">
        <v>59.440888000000001</v>
      </c>
      <c r="P314" s="4" t="s">
        <v>849</v>
      </c>
      <c r="Q314" s="4" t="s">
        <v>782</v>
      </c>
      <c r="R314" s="4"/>
      <c r="S314" s="4"/>
      <c r="T314" s="4" t="str">
        <f t="shared" si="8"/>
        <v>PMG - Digiekraanid -  - Lasnamäe Centrum LED - 1</v>
      </c>
      <c r="U314" s="4" t="str">
        <f t="shared" si="9"/>
        <v>PMG - Digiekraanid - Lasnamäe Centrum LED</v>
      </c>
      <c r="V314" s="40">
        <v>44562</v>
      </c>
      <c r="W314" s="31"/>
    </row>
    <row r="315" spans="1:23" ht="15" x14ac:dyDescent="0.25">
      <c r="A315" s="4" t="s">
        <v>13</v>
      </c>
      <c r="B315" s="4" t="s">
        <v>782</v>
      </c>
      <c r="C315" s="4"/>
      <c r="D315" s="4"/>
      <c r="E315" s="4" t="s">
        <v>0</v>
      </c>
      <c r="F315" s="4" t="s">
        <v>0</v>
      </c>
      <c r="G315" s="18" t="s">
        <v>786</v>
      </c>
      <c r="H315" s="18">
        <v>1</v>
      </c>
      <c r="I315" s="4" t="s">
        <v>822</v>
      </c>
      <c r="J315" s="4"/>
      <c r="K315" s="4"/>
      <c r="L315" s="4"/>
      <c r="M315" s="4"/>
      <c r="N315" s="25">
        <v>24.688554</v>
      </c>
      <c r="O315" s="25">
        <v>59.408389999999997</v>
      </c>
      <c r="P315" s="4" t="s">
        <v>850</v>
      </c>
      <c r="Q315" s="4" t="s">
        <v>782</v>
      </c>
      <c r="R315" s="4"/>
      <c r="S315" s="4"/>
      <c r="T315" s="4" t="str">
        <f t="shared" si="8"/>
        <v>PMG - Digiekraanid -  - Mustamäe Keskus LED (audio) - 1</v>
      </c>
      <c r="U315" s="4" t="str">
        <f t="shared" si="9"/>
        <v>PMG - Digiekraanid - Mustamäe Keskus LED (audio)</v>
      </c>
      <c r="V315" s="40">
        <v>44562</v>
      </c>
      <c r="W315" s="31"/>
    </row>
    <row r="316" spans="1:23" ht="15" x14ac:dyDescent="0.25">
      <c r="A316" s="4" t="s">
        <v>13</v>
      </c>
      <c r="B316" s="4" t="s">
        <v>782</v>
      </c>
      <c r="C316" s="4"/>
      <c r="D316" s="4"/>
      <c r="E316" s="4" t="s">
        <v>0</v>
      </c>
      <c r="F316" s="4" t="s">
        <v>0</v>
      </c>
      <c r="G316" s="18" t="s">
        <v>787</v>
      </c>
      <c r="H316" s="18">
        <v>1</v>
      </c>
      <c r="I316" s="4" t="s">
        <v>823</v>
      </c>
      <c r="J316" s="4"/>
      <c r="K316" s="4"/>
      <c r="L316" s="4"/>
      <c r="M316" s="4"/>
      <c r="N316" s="25">
        <v>24.762224</v>
      </c>
      <c r="O316" s="25">
        <v>59.441049999999997</v>
      </c>
      <c r="P316" s="4" t="s">
        <v>851</v>
      </c>
      <c r="Q316" s="4" t="s">
        <v>782</v>
      </c>
      <c r="R316" s="4"/>
      <c r="S316" s="4"/>
      <c r="T316" s="4" t="str">
        <f t="shared" si="8"/>
        <v>PMG - Digiekraanid -  - Nautica LED - 1</v>
      </c>
      <c r="U316" s="4" t="str">
        <f t="shared" si="9"/>
        <v>PMG - Digiekraanid - Nautica LED</v>
      </c>
      <c r="V316" s="40">
        <v>44562</v>
      </c>
      <c r="W316" s="31"/>
    </row>
    <row r="317" spans="1:23" ht="15" x14ac:dyDescent="0.25">
      <c r="A317" s="4" t="s">
        <v>13</v>
      </c>
      <c r="B317" s="4" t="s">
        <v>782</v>
      </c>
      <c r="C317" s="4"/>
      <c r="D317" s="4"/>
      <c r="E317" s="4" t="s">
        <v>0</v>
      </c>
      <c r="F317" s="4" t="s">
        <v>0</v>
      </c>
      <c r="G317" s="18" t="s">
        <v>788</v>
      </c>
      <c r="H317" s="18">
        <v>1</v>
      </c>
      <c r="I317" s="4" t="s">
        <v>824</v>
      </c>
      <c r="J317" s="4"/>
      <c r="K317" s="4"/>
      <c r="L317" s="4"/>
      <c r="M317" s="4"/>
      <c r="N317" s="25">
        <v>24.79102</v>
      </c>
      <c r="O317" s="25">
        <v>59.424526</v>
      </c>
      <c r="P317" s="4" t="s">
        <v>852</v>
      </c>
      <c r="Q317" s="4" t="s">
        <v>782</v>
      </c>
      <c r="R317" s="4"/>
      <c r="S317" s="4"/>
      <c r="T317" s="4" t="str">
        <f t="shared" si="8"/>
        <v>PMG - Digiekraanid -  - Peterburi tee 2f LED - 1</v>
      </c>
      <c r="U317" s="4" t="str">
        <f t="shared" si="9"/>
        <v>PMG - Digiekraanid - Peterburi tee 2f LED</v>
      </c>
      <c r="V317" s="40">
        <v>44562</v>
      </c>
      <c r="W317" s="31"/>
    </row>
    <row r="318" spans="1:23" ht="15" x14ac:dyDescent="0.25">
      <c r="A318" s="4" t="s">
        <v>13</v>
      </c>
      <c r="B318" s="4" t="s">
        <v>782</v>
      </c>
      <c r="C318" s="4"/>
      <c r="D318" s="4"/>
      <c r="E318" s="4" t="s">
        <v>0</v>
      </c>
      <c r="F318" s="4" t="s">
        <v>0</v>
      </c>
      <c r="G318" s="18" t="s">
        <v>789</v>
      </c>
      <c r="H318" s="18">
        <v>1</v>
      </c>
      <c r="I318" s="4" t="s">
        <v>521</v>
      </c>
      <c r="J318" s="4"/>
      <c r="K318" s="4"/>
      <c r="L318" s="4"/>
      <c r="M318" s="4"/>
      <c r="N318" s="25">
        <v>24.783677000000001</v>
      </c>
      <c r="O318" s="25">
        <v>59.426242000000002</v>
      </c>
      <c r="P318" s="4" t="s">
        <v>853</v>
      </c>
      <c r="Q318" s="4" t="s">
        <v>782</v>
      </c>
      <c r="R318" s="4"/>
      <c r="S318" s="4"/>
      <c r="T318" s="4" t="str">
        <f t="shared" si="8"/>
        <v>PMG - Digiekraanid -  - Sikupilli LED (audio) - 1</v>
      </c>
      <c r="U318" s="4" t="str">
        <f t="shared" si="9"/>
        <v>PMG - Digiekraanid - Sikupilli LED (audio)</v>
      </c>
      <c r="V318" s="40">
        <v>44562</v>
      </c>
      <c r="W318" s="31"/>
    </row>
    <row r="319" spans="1:23" ht="15" x14ac:dyDescent="0.25">
      <c r="A319" s="4" t="s">
        <v>13</v>
      </c>
      <c r="B319" s="4" t="s">
        <v>782</v>
      </c>
      <c r="C319" s="4"/>
      <c r="D319" s="4"/>
      <c r="E319" s="4" t="s">
        <v>0</v>
      </c>
      <c r="F319" s="4" t="s">
        <v>0</v>
      </c>
      <c r="G319" s="18" t="s">
        <v>790</v>
      </c>
      <c r="H319" s="18">
        <v>1</v>
      </c>
      <c r="I319" s="4" t="s">
        <v>486</v>
      </c>
      <c r="J319" s="4"/>
      <c r="K319" s="4"/>
      <c r="L319" s="4"/>
      <c r="M319" s="4"/>
      <c r="N319" s="25">
        <v>24.652569759999999</v>
      </c>
      <c r="O319" s="25">
        <v>59.426055470000001</v>
      </c>
      <c r="P319" s="4" t="s">
        <v>854</v>
      </c>
      <c r="Q319" s="4" t="s">
        <v>782</v>
      </c>
      <c r="R319" s="4"/>
      <c r="S319" s="4"/>
      <c r="T319" s="4" t="str">
        <f t="shared" si="8"/>
        <v>PMG - Digiekraanid -  - Rocca Al Mare LED - 1</v>
      </c>
      <c r="U319" s="4" t="str">
        <f t="shared" si="9"/>
        <v>PMG - Digiekraanid - Rocca Al Mare LED</v>
      </c>
      <c r="V319" s="40">
        <v>44562</v>
      </c>
      <c r="W319" s="31"/>
    </row>
    <row r="320" spans="1:23" ht="15" x14ac:dyDescent="0.25">
      <c r="A320" s="4" t="s">
        <v>13</v>
      </c>
      <c r="B320" s="4" t="s">
        <v>782</v>
      </c>
      <c r="C320" s="4"/>
      <c r="D320" s="4"/>
      <c r="E320" s="4" t="s">
        <v>0</v>
      </c>
      <c r="F320" s="4" t="s">
        <v>0</v>
      </c>
      <c r="G320" s="18" t="s">
        <v>791</v>
      </c>
      <c r="H320" s="18">
        <v>1</v>
      </c>
      <c r="I320" s="4" t="s">
        <v>825</v>
      </c>
      <c r="J320" s="4"/>
      <c r="K320" s="4"/>
      <c r="L320" s="4"/>
      <c r="M320" s="4"/>
      <c r="N320" s="25">
        <v>24.701909000000001</v>
      </c>
      <c r="O320" s="25">
        <v>59.404487000000003</v>
      </c>
      <c r="P320" s="4" t="s">
        <v>855</v>
      </c>
      <c r="Q320" s="4" t="s">
        <v>782</v>
      </c>
      <c r="R320" s="4"/>
      <c r="S320" s="4"/>
      <c r="T320" s="4" t="str">
        <f t="shared" si="8"/>
        <v>PMG - Digiekraanid -  - Tammsaare LED - 1</v>
      </c>
      <c r="U320" s="4" t="str">
        <f t="shared" si="9"/>
        <v>PMG - Digiekraanid - Tammsaare LED</v>
      </c>
      <c r="V320" s="40">
        <v>44562</v>
      </c>
      <c r="W320" s="31"/>
    </row>
    <row r="321" spans="1:23" ht="15" x14ac:dyDescent="0.25">
      <c r="A321" s="4" t="s">
        <v>13</v>
      </c>
      <c r="B321" s="4" t="s">
        <v>782</v>
      </c>
      <c r="C321" s="4"/>
      <c r="D321" s="4"/>
      <c r="E321" s="4" t="s">
        <v>0</v>
      </c>
      <c r="F321" s="4" t="s">
        <v>0</v>
      </c>
      <c r="G321" s="18" t="s">
        <v>792</v>
      </c>
      <c r="H321" s="18">
        <v>1</v>
      </c>
      <c r="I321" s="4" t="s">
        <v>826</v>
      </c>
      <c r="J321" s="4"/>
      <c r="K321" s="4"/>
      <c r="L321" s="4"/>
      <c r="M321" s="4"/>
      <c r="N321" s="25">
        <v>24.775572</v>
      </c>
      <c r="O321" s="25">
        <v>59.428480999999998</v>
      </c>
      <c r="P321" s="4" t="s">
        <v>856</v>
      </c>
      <c r="Q321" s="4" t="s">
        <v>782</v>
      </c>
      <c r="R321" s="4"/>
      <c r="S321" s="4"/>
      <c r="T321" s="4" t="str">
        <f t="shared" si="8"/>
        <v>PMG - Digiekraanid -  - Tartu mnt. 64 LED - 1</v>
      </c>
      <c r="U321" s="4" t="str">
        <f t="shared" si="9"/>
        <v>PMG - Digiekraanid - Tartu mnt. 64 LED</v>
      </c>
      <c r="V321" s="40">
        <v>44562</v>
      </c>
      <c r="W321" s="31"/>
    </row>
    <row r="322" spans="1:23" ht="15" x14ac:dyDescent="0.25">
      <c r="A322" s="4" t="s">
        <v>13</v>
      </c>
      <c r="B322" s="4" t="s">
        <v>782</v>
      </c>
      <c r="C322" s="4"/>
      <c r="D322" s="4"/>
      <c r="E322" s="4" t="s">
        <v>0</v>
      </c>
      <c r="F322" s="4" t="s">
        <v>0</v>
      </c>
      <c r="G322" s="18" t="s">
        <v>793</v>
      </c>
      <c r="H322" s="18">
        <v>1</v>
      </c>
      <c r="I322" s="4" t="s">
        <v>523</v>
      </c>
      <c r="J322" s="4"/>
      <c r="K322" s="4"/>
      <c r="L322" s="4"/>
      <c r="M322" s="4"/>
      <c r="N322" s="25">
        <v>24.805866999999999</v>
      </c>
      <c r="O322" s="25">
        <v>59.408763999999998</v>
      </c>
      <c r="P322" s="4" t="s">
        <v>857</v>
      </c>
      <c r="Q322" s="4" t="s">
        <v>782</v>
      </c>
      <c r="R322" s="4"/>
      <c r="S322" s="4"/>
      <c r="T322" s="4" t="str">
        <f t="shared" si="8"/>
        <v>PMG - Digiekraanid -  - Tartu mnt. 119 LED - 1</v>
      </c>
      <c r="U322" s="4" t="str">
        <f t="shared" si="9"/>
        <v>PMG - Digiekraanid - Tartu mnt. 119 LED</v>
      </c>
      <c r="V322" s="40">
        <v>44562</v>
      </c>
      <c r="W322" s="31"/>
    </row>
    <row r="323" spans="1:23" ht="15" x14ac:dyDescent="0.25">
      <c r="A323" s="4" t="s">
        <v>13</v>
      </c>
      <c r="B323" s="4" t="s">
        <v>782</v>
      </c>
      <c r="C323" s="4"/>
      <c r="D323" s="4"/>
      <c r="E323" s="4" t="s">
        <v>0</v>
      </c>
      <c r="F323" s="4" t="s">
        <v>0</v>
      </c>
      <c r="G323" s="18" t="s">
        <v>794</v>
      </c>
      <c r="H323" s="18">
        <v>1</v>
      </c>
      <c r="I323" s="4" t="s">
        <v>827</v>
      </c>
      <c r="J323" s="4"/>
      <c r="K323" s="4"/>
      <c r="L323" s="4"/>
      <c r="M323" s="4"/>
      <c r="N323" s="25">
        <v>24.802168000000002</v>
      </c>
      <c r="O323" s="25">
        <v>59.420307000000001</v>
      </c>
      <c r="P323" s="4" t="s">
        <v>858</v>
      </c>
      <c r="Q323" s="4" t="s">
        <v>782</v>
      </c>
      <c r="R323" s="4"/>
      <c r="S323" s="4"/>
      <c r="T323" s="4" t="str">
        <f t="shared" ref="T323:T386" si="10">CONCATENATE(A323," - ",B323," - ",C323," - ",G323," - ",H323)</f>
        <v>PMG - Digiekraanid -  - Ülemiste City LED - 1</v>
      </c>
      <c r="U323" s="4" t="str">
        <f t="shared" ref="U323:U386" si="11">CONCATENATE(A323," - ",B323," - ",G323,)</f>
        <v>PMG - Digiekraanid - Ülemiste City LED</v>
      </c>
      <c r="V323" s="40">
        <v>44562</v>
      </c>
      <c r="W323" s="31"/>
    </row>
    <row r="324" spans="1:23" ht="15" x14ac:dyDescent="0.25">
      <c r="A324" s="4" t="s">
        <v>13</v>
      </c>
      <c r="B324" s="4" t="s">
        <v>782</v>
      </c>
      <c r="C324" s="4"/>
      <c r="D324" s="4"/>
      <c r="E324" s="4" t="s">
        <v>0</v>
      </c>
      <c r="F324" s="4" t="s">
        <v>0</v>
      </c>
      <c r="G324" s="18" t="s">
        <v>795</v>
      </c>
      <c r="H324" s="18">
        <v>1</v>
      </c>
      <c r="I324" s="4" t="s">
        <v>828</v>
      </c>
      <c r="J324" s="4"/>
      <c r="K324" s="4"/>
      <c r="L324" s="4"/>
      <c r="M324" s="4"/>
      <c r="N324" s="25">
        <v>24.8917</v>
      </c>
      <c r="O324" s="25">
        <v>59.451433999999999</v>
      </c>
      <c r="P324" s="4" t="s">
        <v>859</v>
      </c>
      <c r="Q324" s="4" t="s">
        <v>782</v>
      </c>
      <c r="R324" s="4"/>
      <c r="S324" s="4"/>
      <c r="T324" s="4" t="str">
        <f t="shared" si="10"/>
        <v>PMG - Digiekraanid -  - Ussimäe LED - 1</v>
      </c>
      <c r="U324" s="4" t="str">
        <f t="shared" si="11"/>
        <v>PMG - Digiekraanid - Ussimäe LED</v>
      </c>
      <c r="V324" s="40">
        <v>44562</v>
      </c>
      <c r="W324" s="31"/>
    </row>
    <row r="325" spans="1:23" ht="15" x14ac:dyDescent="0.25">
      <c r="A325" s="4" t="s">
        <v>13</v>
      </c>
      <c r="B325" s="4" t="s">
        <v>782</v>
      </c>
      <c r="C325" s="4"/>
      <c r="D325" s="4"/>
      <c r="E325" s="4" t="s">
        <v>0</v>
      </c>
      <c r="F325" s="4" t="s">
        <v>0</v>
      </c>
      <c r="G325" s="18" t="s">
        <v>796</v>
      </c>
      <c r="H325" s="18">
        <v>1</v>
      </c>
      <c r="I325" s="4" t="s">
        <v>829</v>
      </c>
      <c r="J325" s="4"/>
      <c r="K325" s="4"/>
      <c r="L325" s="4"/>
      <c r="M325" s="4"/>
      <c r="N325" s="25">
        <v>24.794809999999998</v>
      </c>
      <c r="O325" s="25">
        <v>59.42286</v>
      </c>
      <c r="P325" s="4" t="s">
        <v>860</v>
      </c>
      <c r="Q325" s="4" t="s">
        <v>782</v>
      </c>
      <c r="R325" s="4"/>
      <c r="S325" s="4"/>
      <c r="T325" s="4" t="str">
        <f t="shared" si="10"/>
        <v>PMG - Digiekraanid -  - Ülemiste Apollo LED - 1</v>
      </c>
      <c r="U325" s="4" t="str">
        <f t="shared" si="11"/>
        <v>PMG - Digiekraanid - Ülemiste Apollo LED</v>
      </c>
      <c r="V325" s="40">
        <v>44562</v>
      </c>
      <c r="W325" s="31"/>
    </row>
    <row r="326" spans="1:23" ht="15" x14ac:dyDescent="0.25">
      <c r="A326" s="4" t="s">
        <v>13</v>
      </c>
      <c r="B326" s="4" t="s">
        <v>782</v>
      </c>
      <c r="C326" s="4"/>
      <c r="D326" s="4"/>
      <c r="E326" s="4" t="s">
        <v>0</v>
      </c>
      <c r="F326" s="4" t="s">
        <v>0</v>
      </c>
      <c r="G326" s="18" t="s">
        <v>797</v>
      </c>
      <c r="H326" s="18">
        <v>1</v>
      </c>
      <c r="I326" s="4" t="s">
        <v>830</v>
      </c>
      <c r="J326" s="4"/>
      <c r="K326" s="4"/>
      <c r="L326" s="4"/>
      <c r="M326" s="4"/>
      <c r="N326" s="25">
        <v>24.817375999999999</v>
      </c>
      <c r="O326" s="25">
        <v>59.460633000000001</v>
      </c>
      <c r="P326" s="4" t="s">
        <v>861</v>
      </c>
      <c r="Q326" s="4" t="s">
        <v>782</v>
      </c>
      <c r="R326" s="4"/>
      <c r="S326" s="4"/>
      <c r="T326" s="4" t="str">
        <f t="shared" si="10"/>
        <v>PMG - Digiekraanid -  - Regati pst 1 LED (Hawaii) - 1</v>
      </c>
      <c r="U326" s="4" t="str">
        <f t="shared" si="11"/>
        <v>PMG - Digiekraanid - Regati pst 1 LED (Hawaii)</v>
      </c>
      <c r="V326" s="40">
        <v>44562</v>
      </c>
      <c r="W326" s="31"/>
    </row>
    <row r="327" spans="1:23" ht="15" x14ac:dyDescent="0.25">
      <c r="A327" s="4" t="s">
        <v>13</v>
      </c>
      <c r="B327" s="4" t="s">
        <v>782</v>
      </c>
      <c r="C327" s="4"/>
      <c r="D327" s="4"/>
      <c r="E327" s="4" t="s">
        <v>0</v>
      </c>
      <c r="F327" s="4" t="s">
        <v>0</v>
      </c>
      <c r="G327" s="18" t="s">
        <v>798</v>
      </c>
      <c r="H327" s="18">
        <v>1</v>
      </c>
      <c r="I327" s="4" t="s">
        <v>525</v>
      </c>
      <c r="J327" s="4"/>
      <c r="K327" s="4"/>
      <c r="L327" s="4"/>
      <c r="M327" s="4"/>
      <c r="N327" s="25">
        <v>24.791270999999998</v>
      </c>
      <c r="O327" s="25">
        <v>59.420439999999999</v>
      </c>
      <c r="P327" s="4" t="s">
        <v>862</v>
      </c>
      <c r="Q327" s="4" t="s">
        <v>782</v>
      </c>
      <c r="R327" s="4"/>
      <c r="S327" s="4"/>
      <c r="T327" s="4" t="str">
        <f t="shared" si="10"/>
        <v>PMG - Digiekraanid -  - Ülemiste Neste LED - 1</v>
      </c>
      <c r="U327" s="4" t="str">
        <f t="shared" si="11"/>
        <v>PMG - Digiekraanid - Ülemiste Neste LED</v>
      </c>
      <c r="V327" s="40">
        <v>44562</v>
      </c>
      <c r="W327" s="31"/>
    </row>
    <row r="328" spans="1:23" ht="15" x14ac:dyDescent="0.25">
      <c r="A328" s="4" t="s">
        <v>13</v>
      </c>
      <c r="B328" s="4" t="s">
        <v>782</v>
      </c>
      <c r="C328" s="4"/>
      <c r="D328" s="4"/>
      <c r="E328" s="4" t="s">
        <v>0</v>
      </c>
      <c r="F328" s="4" t="s">
        <v>0</v>
      </c>
      <c r="G328" s="18" t="s">
        <v>799</v>
      </c>
      <c r="H328" s="18">
        <v>1</v>
      </c>
      <c r="I328" s="4" t="s">
        <v>831</v>
      </c>
      <c r="J328" s="4"/>
      <c r="K328" s="4"/>
      <c r="L328" s="4"/>
      <c r="M328" s="4"/>
      <c r="N328" s="25">
        <v>24.805668000000001</v>
      </c>
      <c r="O328" s="25">
        <v>59.449764000000002</v>
      </c>
      <c r="P328" s="4" t="s">
        <v>863</v>
      </c>
      <c r="Q328" s="4" t="s">
        <v>782</v>
      </c>
      <c r="R328" s="4"/>
      <c r="S328" s="4"/>
      <c r="T328" s="4" t="str">
        <f t="shared" si="10"/>
        <v>PMG - Digiekraanid -  - Pirita tee Messikeskuse LED - 1</v>
      </c>
      <c r="U328" s="4" t="str">
        <f t="shared" si="11"/>
        <v>PMG - Digiekraanid - Pirita tee Messikeskuse LED</v>
      </c>
      <c r="V328" s="40">
        <v>44562</v>
      </c>
      <c r="W328" s="31"/>
    </row>
    <row r="329" spans="1:23" ht="15" x14ac:dyDescent="0.25">
      <c r="A329" s="4" t="s">
        <v>13</v>
      </c>
      <c r="B329" s="4" t="s">
        <v>782</v>
      </c>
      <c r="C329" s="4"/>
      <c r="D329" s="4"/>
      <c r="E329" s="4" t="s">
        <v>0</v>
      </c>
      <c r="F329" s="4" t="s">
        <v>0</v>
      </c>
      <c r="G329" s="18" t="s">
        <v>800</v>
      </c>
      <c r="H329" s="18">
        <v>1</v>
      </c>
      <c r="I329" s="4" t="s">
        <v>832</v>
      </c>
      <c r="J329" s="4"/>
      <c r="K329" s="4"/>
      <c r="L329" s="4"/>
      <c r="M329" s="4"/>
      <c r="N329" s="25">
        <v>24.727067000000002</v>
      </c>
      <c r="O329" s="25">
        <v>59.399158999999997</v>
      </c>
      <c r="P329" s="4" t="s">
        <v>864</v>
      </c>
      <c r="Q329" s="4" t="s">
        <v>782</v>
      </c>
      <c r="R329" s="4"/>
      <c r="S329" s="4"/>
      <c r="T329" s="4" t="str">
        <f t="shared" si="10"/>
        <v>PMG - Digiekraanid -  - Pärnu mnt. Vaheriba LED - 1</v>
      </c>
      <c r="U329" s="4" t="str">
        <f t="shared" si="11"/>
        <v>PMG - Digiekraanid - Pärnu mnt. Vaheriba LED</v>
      </c>
      <c r="V329" s="40">
        <v>44562</v>
      </c>
      <c r="W329" s="31"/>
    </row>
    <row r="330" spans="1:23" ht="15" x14ac:dyDescent="0.25">
      <c r="A330" s="4" t="s">
        <v>13</v>
      </c>
      <c r="B330" s="4" t="s">
        <v>782</v>
      </c>
      <c r="C330" s="4"/>
      <c r="D330" s="4"/>
      <c r="E330" s="4" t="s">
        <v>0</v>
      </c>
      <c r="F330" s="4" t="s">
        <v>0</v>
      </c>
      <c r="G330" s="18" t="s">
        <v>801</v>
      </c>
      <c r="H330" s="18">
        <v>1</v>
      </c>
      <c r="I330" s="4" t="s">
        <v>833</v>
      </c>
      <c r="J330" s="4"/>
      <c r="K330" s="4"/>
      <c r="L330" s="4"/>
      <c r="M330" s="4"/>
      <c r="N330" s="25">
        <v>24.657250000000001</v>
      </c>
      <c r="O330" s="25">
        <v>59.425750000000001</v>
      </c>
      <c r="P330" s="4" t="s">
        <v>865</v>
      </c>
      <c r="Q330" s="4" t="s">
        <v>782</v>
      </c>
      <c r="R330" s="4"/>
      <c r="S330" s="4"/>
      <c r="T330" s="4" t="str">
        <f t="shared" si="10"/>
        <v>PMG - Digiekraanid -  - Paldiski mnt. Loomaaia LED - 1</v>
      </c>
      <c r="U330" s="4" t="str">
        <f t="shared" si="11"/>
        <v>PMG - Digiekraanid - Paldiski mnt. Loomaaia LED</v>
      </c>
      <c r="V330" s="40">
        <v>44562</v>
      </c>
      <c r="W330" s="31"/>
    </row>
    <row r="331" spans="1:23" ht="15" x14ac:dyDescent="0.25">
      <c r="A331" s="4" t="s">
        <v>13</v>
      </c>
      <c r="B331" s="4" t="s">
        <v>782</v>
      </c>
      <c r="C331" s="4"/>
      <c r="D331" s="4"/>
      <c r="E331" s="4" t="s">
        <v>0</v>
      </c>
      <c r="F331" s="4" t="s">
        <v>0</v>
      </c>
      <c r="G331" s="18" t="s">
        <v>802</v>
      </c>
      <c r="H331" s="18">
        <v>1</v>
      </c>
      <c r="I331" s="4" t="s">
        <v>834</v>
      </c>
      <c r="J331" s="4"/>
      <c r="K331" s="4"/>
      <c r="L331" s="4"/>
      <c r="M331" s="4"/>
      <c r="N331" s="25">
        <v>24.771086</v>
      </c>
      <c r="O331" s="25">
        <v>59.427166999999997</v>
      </c>
      <c r="P331" s="4" t="s">
        <v>866</v>
      </c>
      <c r="Q331" s="4" t="s">
        <v>782</v>
      </c>
      <c r="R331" s="4"/>
      <c r="S331" s="4"/>
      <c r="T331" s="4" t="str">
        <f t="shared" si="10"/>
        <v>PMG - Digiekraanid -  - Jakobi LED - 1</v>
      </c>
      <c r="U331" s="4" t="str">
        <f t="shared" si="11"/>
        <v>PMG - Digiekraanid - Jakobi LED</v>
      </c>
      <c r="V331" s="40">
        <v>44562</v>
      </c>
      <c r="W331" s="31"/>
    </row>
    <row r="332" spans="1:23" ht="15" x14ac:dyDescent="0.25">
      <c r="A332" s="4" t="s">
        <v>13</v>
      </c>
      <c r="B332" s="4" t="s">
        <v>782</v>
      </c>
      <c r="C332" s="4"/>
      <c r="D332" s="4"/>
      <c r="E332" s="4" t="s">
        <v>0</v>
      </c>
      <c r="F332" s="4" t="s">
        <v>0</v>
      </c>
      <c r="G332" s="18" t="s">
        <v>803</v>
      </c>
      <c r="H332" s="18">
        <v>1</v>
      </c>
      <c r="I332" s="4" t="s">
        <v>835</v>
      </c>
      <c r="J332" s="4"/>
      <c r="K332" s="4"/>
      <c r="L332" s="4"/>
      <c r="M332" s="4"/>
      <c r="N332" s="25">
        <v>24.685117000000002</v>
      </c>
      <c r="O332" s="25">
        <v>59.415669000000001</v>
      </c>
      <c r="P332" s="4" t="s">
        <v>867</v>
      </c>
      <c r="Q332" s="4" t="s">
        <v>782</v>
      </c>
      <c r="R332" s="4"/>
      <c r="S332" s="4"/>
      <c r="T332" s="4" t="str">
        <f t="shared" si="10"/>
        <v>PMG - Digiekraanid -  - Kadaka LED - 1</v>
      </c>
      <c r="U332" s="4" t="str">
        <f t="shared" si="11"/>
        <v>PMG - Digiekraanid - Kadaka LED</v>
      </c>
      <c r="V332" s="40">
        <v>44562</v>
      </c>
      <c r="W332" s="31"/>
    </row>
    <row r="333" spans="1:23" ht="15" x14ac:dyDescent="0.25">
      <c r="A333" s="4" t="s">
        <v>13</v>
      </c>
      <c r="B333" s="4" t="s">
        <v>782</v>
      </c>
      <c r="C333" s="4"/>
      <c r="D333" s="4"/>
      <c r="E333" s="4" t="s">
        <v>0</v>
      </c>
      <c r="F333" s="4" t="s">
        <v>0</v>
      </c>
      <c r="G333" s="18" t="s">
        <v>804</v>
      </c>
      <c r="H333" s="18">
        <v>1</v>
      </c>
      <c r="I333" s="4" t="s">
        <v>836</v>
      </c>
      <c r="J333" s="4"/>
      <c r="K333" s="4"/>
      <c r="L333" s="4"/>
      <c r="M333" s="4"/>
      <c r="N333" s="25">
        <v>24.725279</v>
      </c>
      <c r="O333" s="25">
        <v>59.425831000000002</v>
      </c>
      <c r="P333" s="4" t="s">
        <v>868</v>
      </c>
      <c r="Q333" s="4" t="s">
        <v>782</v>
      </c>
      <c r="R333" s="4"/>
      <c r="S333" s="4"/>
      <c r="T333" s="4" t="str">
        <f t="shared" si="10"/>
        <v>PMG - Digiekraanid -  - Kristiine Parkla LED - 1</v>
      </c>
      <c r="U333" s="4" t="str">
        <f t="shared" si="11"/>
        <v>PMG - Digiekraanid - Kristiine Parkla LED</v>
      </c>
      <c r="V333" s="40">
        <v>44562</v>
      </c>
      <c r="W333" s="31"/>
    </row>
    <row r="334" spans="1:23" ht="15" x14ac:dyDescent="0.25">
      <c r="A334" s="4" t="s">
        <v>13</v>
      </c>
      <c r="B334" s="4" t="s">
        <v>782</v>
      </c>
      <c r="C334" s="4"/>
      <c r="D334" s="4"/>
      <c r="E334" s="4" t="s">
        <v>0</v>
      </c>
      <c r="F334" s="4" t="s">
        <v>0</v>
      </c>
      <c r="G334" s="18" t="s">
        <v>805</v>
      </c>
      <c r="H334" s="18">
        <v>1</v>
      </c>
      <c r="I334" s="4" t="s">
        <v>836</v>
      </c>
      <c r="J334" s="4"/>
      <c r="K334" s="4"/>
      <c r="L334" s="4"/>
      <c r="M334" s="4"/>
      <c r="N334" s="25">
        <v>24.722586</v>
      </c>
      <c r="O334" s="25">
        <v>59.427413999999999</v>
      </c>
      <c r="P334" s="4" t="s">
        <v>869</v>
      </c>
      <c r="Q334" s="4" t="s">
        <v>782</v>
      </c>
      <c r="R334" s="4"/>
      <c r="S334" s="4"/>
      <c r="T334" s="4" t="str">
        <f t="shared" si="10"/>
        <v>PMG - Digiekraanid -  - Kristiine Keskuse peaukse LED - 1</v>
      </c>
      <c r="U334" s="4" t="str">
        <f t="shared" si="11"/>
        <v>PMG - Digiekraanid - Kristiine Keskuse peaukse LED</v>
      </c>
      <c r="V334" s="40">
        <v>44562</v>
      </c>
      <c r="W334" s="31"/>
    </row>
    <row r="335" spans="1:23" ht="15" x14ac:dyDescent="0.25">
      <c r="A335" s="4" t="s">
        <v>13</v>
      </c>
      <c r="B335" s="4" t="s">
        <v>782</v>
      </c>
      <c r="C335" s="4"/>
      <c r="D335" s="4"/>
      <c r="E335" s="4" t="s">
        <v>0</v>
      </c>
      <c r="F335" s="4" t="s">
        <v>0</v>
      </c>
      <c r="G335" s="18" t="s">
        <v>806</v>
      </c>
      <c r="H335" s="18">
        <v>1</v>
      </c>
      <c r="I335" s="4" t="s">
        <v>837</v>
      </c>
      <c r="J335" s="4"/>
      <c r="K335" s="4"/>
      <c r="L335" s="4"/>
      <c r="M335" s="4"/>
      <c r="N335" s="25">
        <v>24.760438000000001</v>
      </c>
      <c r="O335" s="25">
        <v>59.433374999999998</v>
      </c>
      <c r="P335" s="4" t="s">
        <v>870</v>
      </c>
      <c r="Q335" s="4" t="s">
        <v>782</v>
      </c>
      <c r="R335" s="4"/>
      <c r="S335" s="4"/>
      <c r="T335" s="4" t="str">
        <f t="shared" si="10"/>
        <v>PMG - Digiekraanid -  - Maakri LED - 1</v>
      </c>
      <c r="U335" s="4" t="str">
        <f t="shared" si="11"/>
        <v>PMG - Digiekraanid - Maakri LED</v>
      </c>
      <c r="V335" s="40">
        <v>44562</v>
      </c>
      <c r="W335" s="31"/>
    </row>
    <row r="336" spans="1:23" ht="15" x14ac:dyDescent="0.25">
      <c r="A336" s="4" t="s">
        <v>13</v>
      </c>
      <c r="B336" s="4" t="s">
        <v>782</v>
      </c>
      <c r="C336" s="4"/>
      <c r="D336" s="4"/>
      <c r="E336" s="4" t="s">
        <v>0</v>
      </c>
      <c r="F336" s="4" t="s">
        <v>0</v>
      </c>
      <c r="G336" s="18" t="s">
        <v>807</v>
      </c>
      <c r="H336" s="18">
        <v>1</v>
      </c>
      <c r="I336" s="4" t="s">
        <v>838</v>
      </c>
      <c r="J336" s="4"/>
      <c r="K336" s="4"/>
      <c r="L336" s="4"/>
      <c r="M336" s="4"/>
      <c r="N336" s="25">
        <v>24.862518999999999</v>
      </c>
      <c r="O336" s="25">
        <v>59.448383</v>
      </c>
      <c r="P336" s="4" t="s">
        <v>871</v>
      </c>
      <c r="Q336" s="4" t="s">
        <v>782</v>
      </c>
      <c r="R336" s="4"/>
      <c r="S336" s="4"/>
      <c r="T336" s="4" t="str">
        <f t="shared" si="10"/>
        <v>PMG - Digiekraanid -  - Mustakivi LED - 1</v>
      </c>
      <c r="U336" s="4" t="str">
        <f t="shared" si="11"/>
        <v>PMG - Digiekraanid - Mustakivi LED</v>
      </c>
      <c r="V336" s="40">
        <v>44562</v>
      </c>
      <c r="W336" s="31"/>
    </row>
    <row r="337" spans="1:23" ht="15" x14ac:dyDescent="0.25">
      <c r="A337" s="4" t="s">
        <v>13</v>
      </c>
      <c r="B337" s="4" t="s">
        <v>782</v>
      </c>
      <c r="C337" s="4"/>
      <c r="D337" s="4"/>
      <c r="E337" s="4" t="s">
        <v>0</v>
      </c>
      <c r="F337" s="4" t="s">
        <v>0</v>
      </c>
      <c r="G337" s="18" t="s">
        <v>808</v>
      </c>
      <c r="H337" s="18">
        <v>1</v>
      </c>
      <c r="I337" s="4" t="s">
        <v>839</v>
      </c>
      <c r="J337" s="4"/>
      <c r="K337" s="4"/>
      <c r="L337" s="4"/>
      <c r="M337" s="4"/>
      <c r="N337" s="25">
        <v>24.759563</v>
      </c>
      <c r="O337" s="25">
        <v>59.437069000000001</v>
      </c>
      <c r="P337" s="4" t="s">
        <v>872</v>
      </c>
      <c r="Q337" s="4" t="s">
        <v>782</v>
      </c>
      <c r="R337" s="4"/>
      <c r="S337" s="4"/>
      <c r="T337" s="4" t="str">
        <f t="shared" si="10"/>
        <v>PMG - Digiekraanid -  - Narva mnt 4. LED - 1</v>
      </c>
      <c r="U337" s="4" t="str">
        <f t="shared" si="11"/>
        <v>PMG - Digiekraanid - Narva mnt 4. LED</v>
      </c>
      <c r="V337" s="40">
        <v>44562</v>
      </c>
      <c r="W337" s="31"/>
    </row>
    <row r="338" spans="1:23" ht="15" x14ac:dyDescent="0.25">
      <c r="A338" s="4" t="s">
        <v>13</v>
      </c>
      <c r="B338" s="4" t="s">
        <v>782</v>
      </c>
      <c r="C338" s="4"/>
      <c r="D338" s="4"/>
      <c r="E338" s="4" t="s">
        <v>0</v>
      </c>
      <c r="F338" s="4" t="s">
        <v>0</v>
      </c>
      <c r="G338" s="18" t="s">
        <v>809</v>
      </c>
      <c r="H338" s="18">
        <v>1</v>
      </c>
      <c r="I338" s="4" t="s">
        <v>840</v>
      </c>
      <c r="J338" s="4"/>
      <c r="K338" s="4"/>
      <c r="L338" s="4"/>
      <c r="M338" s="4"/>
      <c r="N338" s="25">
        <v>24.767803000000001</v>
      </c>
      <c r="O338" s="25">
        <v>59.437759</v>
      </c>
      <c r="P338" s="4" t="s">
        <v>873</v>
      </c>
      <c r="Q338" s="4" t="s">
        <v>782</v>
      </c>
      <c r="R338" s="4"/>
      <c r="S338" s="4"/>
      <c r="T338" s="4" t="str">
        <f t="shared" si="10"/>
        <v>PMG - Digiekraanid -  - Narva mnt. 24 LED - 1</v>
      </c>
      <c r="U338" s="4" t="str">
        <f t="shared" si="11"/>
        <v>PMG - Digiekraanid - Narva mnt. 24 LED</v>
      </c>
      <c r="V338" s="40">
        <v>44562</v>
      </c>
      <c r="W338" s="31"/>
    </row>
    <row r="339" spans="1:23" ht="15" x14ac:dyDescent="0.25">
      <c r="A339" s="4" t="s">
        <v>13</v>
      </c>
      <c r="B339" s="4" t="s">
        <v>782</v>
      </c>
      <c r="C339" s="4"/>
      <c r="D339" s="4"/>
      <c r="E339" s="4" t="s">
        <v>0</v>
      </c>
      <c r="F339" s="4" t="s">
        <v>0</v>
      </c>
      <c r="G339" s="18" t="s">
        <v>810</v>
      </c>
      <c r="H339" s="18">
        <v>1</v>
      </c>
      <c r="I339" s="4" t="s">
        <v>841</v>
      </c>
      <c r="J339" s="4"/>
      <c r="K339" s="4"/>
      <c r="L339" s="4"/>
      <c r="M339" s="4"/>
      <c r="N339" s="25">
        <v>24.737322030000001</v>
      </c>
      <c r="O339" s="25">
        <v>59.410178449999997</v>
      </c>
      <c r="P339" s="4" t="s">
        <v>874</v>
      </c>
      <c r="Q339" s="4" t="s">
        <v>782</v>
      </c>
      <c r="R339" s="4"/>
      <c r="S339" s="4"/>
      <c r="T339" s="4" t="str">
        <f t="shared" si="10"/>
        <v>PMG - Digiekraanid -  - Pärnu mnt. 135 LED (Veloplus)  - 1</v>
      </c>
      <c r="U339" s="4" t="str">
        <f t="shared" si="11"/>
        <v xml:space="preserve">PMG - Digiekraanid - Pärnu mnt. 135 LED (Veloplus) </v>
      </c>
      <c r="V339" s="40">
        <v>44562</v>
      </c>
      <c r="W339" s="31"/>
    </row>
    <row r="340" spans="1:23" ht="15" x14ac:dyDescent="0.25">
      <c r="A340" s="4" t="s">
        <v>13</v>
      </c>
      <c r="B340" s="4" t="s">
        <v>782</v>
      </c>
      <c r="C340" s="4"/>
      <c r="D340" s="4"/>
      <c r="E340" s="4" t="s">
        <v>0</v>
      </c>
      <c r="F340" s="4" t="s">
        <v>0</v>
      </c>
      <c r="G340" s="18" t="s">
        <v>811</v>
      </c>
      <c r="H340" s="18">
        <v>1</v>
      </c>
      <c r="I340" s="4" t="s">
        <v>571</v>
      </c>
      <c r="J340" s="4"/>
      <c r="K340" s="4"/>
      <c r="L340" s="4"/>
      <c r="M340" s="4"/>
      <c r="N340" s="25">
        <v>24.758379000000001</v>
      </c>
      <c r="O340" s="25">
        <v>59.433653</v>
      </c>
      <c r="P340" s="4" t="s">
        <v>875</v>
      </c>
      <c r="Q340" s="4" t="s">
        <v>782</v>
      </c>
      <c r="R340" s="4"/>
      <c r="S340" s="4"/>
      <c r="T340" s="4" t="str">
        <f t="shared" si="10"/>
        <v>PMG - Digiekraanid -  - Radisson Blu Sky LED - 1</v>
      </c>
      <c r="U340" s="4" t="str">
        <f t="shared" si="11"/>
        <v>PMG - Digiekraanid - Radisson Blu Sky LED</v>
      </c>
      <c r="V340" s="40">
        <v>44562</v>
      </c>
      <c r="W340" s="31"/>
    </row>
    <row r="341" spans="1:23" ht="15" x14ac:dyDescent="0.25">
      <c r="A341" s="4" t="s">
        <v>13</v>
      </c>
      <c r="B341" s="4" t="s">
        <v>782</v>
      </c>
      <c r="C341" s="4"/>
      <c r="D341" s="4"/>
      <c r="E341" s="4" t="s">
        <v>0</v>
      </c>
      <c r="F341" s="4" t="s">
        <v>0</v>
      </c>
      <c r="G341" s="18" t="s">
        <v>812</v>
      </c>
      <c r="H341" s="18">
        <v>1</v>
      </c>
      <c r="I341" s="4" t="s">
        <v>842</v>
      </c>
      <c r="J341" s="4"/>
      <c r="K341" s="4"/>
      <c r="L341" s="4"/>
      <c r="M341" s="4"/>
      <c r="N341" s="25">
        <v>24.759197</v>
      </c>
      <c r="O341" s="25">
        <v>59.434086000000001</v>
      </c>
      <c r="P341" s="4" t="s">
        <v>876</v>
      </c>
      <c r="Q341" s="4" t="s">
        <v>782</v>
      </c>
      <c r="R341" s="4"/>
      <c r="S341" s="4"/>
      <c r="T341" s="4" t="str">
        <f t="shared" si="10"/>
        <v>PMG - Digiekraanid -  - Rävala LED - 1</v>
      </c>
      <c r="U341" s="4" t="str">
        <f t="shared" si="11"/>
        <v>PMG - Digiekraanid - Rävala LED</v>
      </c>
      <c r="V341" s="40">
        <v>44562</v>
      </c>
      <c r="W341" s="31"/>
    </row>
    <row r="342" spans="1:23" ht="15" x14ac:dyDescent="0.25">
      <c r="A342" s="4" t="s">
        <v>13</v>
      </c>
      <c r="B342" s="4" t="s">
        <v>782</v>
      </c>
      <c r="C342" s="4"/>
      <c r="D342" s="4"/>
      <c r="E342" s="4" t="s">
        <v>0</v>
      </c>
      <c r="F342" s="4" t="s">
        <v>0</v>
      </c>
      <c r="G342" s="18" t="s">
        <v>813</v>
      </c>
      <c r="H342" s="18">
        <v>1</v>
      </c>
      <c r="I342" s="4" t="s">
        <v>843</v>
      </c>
      <c r="J342" s="4"/>
      <c r="K342" s="4"/>
      <c r="L342" s="4"/>
      <c r="M342" s="4"/>
      <c r="N342" s="25">
        <v>24.700049</v>
      </c>
      <c r="O342" s="25">
        <v>59.405085</v>
      </c>
      <c r="P342" s="4" t="s">
        <v>877</v>
      </c>
      <c r="Q342" s="4" t="s">
        <v>782</v>
      </c>
      <c r="R342" s="4"/>
      <c r="S342" s="4"/>
      <c r="T342" s="4" t="str">
        <f t="shared" si="10"/>
        <v>PMG - Digiekraanid -  - Sõpruse LED - 1</v>
      </c>
      <c r="U342" s="4" t="str">
        <f t="shared" si="11"/>
        <v>PMG - Digiekraanid - Sõpruse LED</v>
      </c>
      <c r="V342" s="40">
        <v>44562</v>
      </c>
      <c r="W342" s="31"/>
    </row>
    <row r="343" spans="1:23" ht="15" x14ac:dyDescent="0.25">
      <c r="A343" s="4" t="s">
        <v>13</v>
      </c>
      <c r="B343" s="4" t="s">
        <v>782</v>
      </c>
      <c r="C343" s="4"/>
      <c r="D343" s="4"/>
      <c r="E343" s="4" t="s">
        <v>0</v>
      </c>
      <c r="F343" s="4" t="s">
        <v>0</v>
      </c>
      <c r="G343" s="18" t="s">
        <v>814</v>
      </c>
      <c r="H343" s="18">
        <v>1</v>
      </c>
      <c r="I343" s="4" t="s">
        <v>844</v>
      </c>
      <c r="J343" s="4"/>
      <c r="K343" s="4"/>
      <c r="L343" s="4"/>
      <c r="M343" s="4"/>
      <c r="N343" s="25">
        <v>24.731318000000002</v>
      </c>
      <c r="O343" s="25">
        <v>59.403643000000002</v>
      </c>
      <c r="P343" s="4" t="s">
        <v>878</v>
      </c>
      <c r="Q343" s="4" t="s">
        <v>782</v>
      </c>
      <c r="R343" s="4"/>
      <c r="S343" s="4"/>
      <c r="T343" s="4" t="str">
        <f t="shared" si="10"/>
        <v>PMG - Digiekraanid -  - Pärnu mnt. 139f LED (Isku) - 1</v>
      </c>
      <c r="U343" s="4" t="str">
        <f t="shared" si="11"/>
        <v>PMG - Digiekraanid - Pärnu mnt. 139f LED (Isku)</v>
      </c>
      <c r="V343" s="40">
        <v>44562</v>
      </c>
      <c r="W343" s="31"/>
    </row>
    <row r="344" spans="1:23" ht="15" x14ac:dyDescent="0.25">
      <c r="A344" s="4" t="s">
        <v>13</v>
      </c>
      <c r="B344" s="4" t="s">
        <v>782</v>
      </c>
      <c r="C344" s="4"/>
      <c r="D344" s="4"/>
      <c r="E344" s="4" t="s">
        <v>0</v>
      </c>
      <c r="F344" s="4" t="s">
        <v>0</v>
      </c>
      <c r="G344" s="18" t="s">
        <v>815</v>
      </c>
      <c r="H344" s="18">
        <v>1</v>
      </c>
      <c r="I344" s="4" t="s">
        <v>823</v>
      </c>
      <c r="J344" s="4"/>
      <c r="K344" s="4"/>
      <c r="L344" s="4"/>
      <c r="M344" s="4"/>
      <c r="N344" s="25">
        <v>24.761858</v>
      </c>
      <c r="O344" s="25">
        <v>59.439965999999998</v>
      </c>
      <c r="P344" s="4" t="s">
        <v>879</v>
      </c>
      <c r="Q344" s="4" t="s">
        <v>782</v>
      </c>
      <c r="R344" s="4"/>
      <c r="S344" s="4"/>
      <c r="T344" s="4" t="str">
        <f t="shared" si="10"/>
        <v>PMG - Digiekraanid -  - Reidi tee LED - 1</v>
      </c>
      <c r="U344" s="4" t="str">
        <f t="shared" si="11"/>
        <v>PMG - Digiekraanid - Reidi tee LED</v>
      </c>
      <c r="V344" s="40">
        <v>44562</v>
      </c>
      <c r="W344" s="31"/>
    </row>
    <row r="345" spans="1:23" ht="15" x14ac:dyDescent="0.25">
      <c r="A345" s="4" t="s">
        <v>13</v>
      </c>
      <c r="B345" s="4" t="s">
        <v>782</v>
      </c>
      <c r="C345" s="4"/>
      <c r="D345" s="4"/>
      <c r="E345" s="4" t="s">
        <v>0</v>
      </c>
      <c r="F345" s="4" t="s">
        <v>0</v>
      </c>
      <c r="G345" s="18" t="s">
        <v>816</v>
      </c>
      <c r="H345" s="18">
        <v>1</v>
      </c>
      <c r="I345" s="4" t="s">
        <v>845</v>
      </c>
      <c r="J345" s="4"/>
      <c r="K345" s="4"/>
      <c r="L345" s="4"/>
      <c r="M345" s="4"/>
      <c r="N345" s="25">
        <v>24.828025</v>
      </c>
      <c r="O345" s="25">
        <v>59.504168999999997</v>
      </c>
      <c r="P345" s="4" t="s">
        <v>880</v>
      </c>
      <c r="Q345" s="4" t="s">
        <v>782</v>
      </c>
      <c r="R345" s="4"/>
      <c r="S345" s="4"/>
      <c r="T345" s="4" t="str">
        <f t="shared" si="10"/>
        <v>PMG - Digiekraanid -  - Viimsi Keskus LED - 1</v>
      </c>
      <c r="U345" s="4" t="str">
        <f t="shared" si="11"/>
        <v>PMG - Digiekraanid - Viimsi Keskus LED</v>
      </c>
      <c r="V345" s="40">
        <v>44562</v>
      </c>
      <c r="W345" s="31"/>
    </row>
    <row r="346" spans="1:23" ht="15" x14ac:dyDescent="0.25">
      <c r="A346" s="4" t="s">
        <v>13</v>
      </c>
      <c r="B346" s="4" t="s">
        <v>782</v>
      </c>
      <c r="C346" s="4"/>
      <c r="D346" s="4"/>
      <c r="E346" s="4" t="s">
        <v>0</v>
      </c>
      <c r="F346" s="4" t="s">
        <v>0</v>
      </c>
      <c r="G346" s="18" t="s">
        <v>817</v>
      </c>
      <c r="H346" s="18">
        <v>1</v>
      </c>
      <c r="I346" s="4" t="s">
        <v>846</v>
      </c>
      <c r="J346" s="4"/>
      <c r="K346" s="4"/>
      <c r="L346" s="4"/>
      <c r="M346" s="4"/>
      <c r="N346" s="25">
        <v>24.726934</v>
      </c>
      <c r="O346" s="25">
        <v>59.429201999999997</v>
      </c>
      <c r="P346" s="4" t="s">
        <v>881</v>
      </c>
      <c r="Q346" s="4" t="s">
        <v>782</v>
      </c>
      <c r="R346" s="4"/>
      <c r="S346" s="4"/>
      <c r="T346" s="4" t="str">
        <f t="shared" si="10"/>
        <v>PMG - Digiekraanid -  - Villardi LED - 1</v>
      </c>
      <c r="U346" s="4" t="str">
        <f t="shared" si="11"/>
        <v>PMG - Digiekraanid - Villardi LED</v>
      </c>
      <c r="V346" s="40">
        <v>44562</v>
      </c>
      <c r="W346" s="31"/>
    </row>
    <row r="347" spans="1:23" ht="15" x14ac:dyDescent="0.25">
      <c r="A347" s="4" t="s">
        <v>13</v>
      </c>
      <c r="B347" s="4" t="s">
        <v>782</v>
      </c>
      <c r="C347" s="4"/>
      <c r="D347" s="4"/>
      <c r="E347" s="4" t="s">
        <v>0</v>
      </c>
      <c r="F347" s="4" t="s">
        <v>0</v>
      </c>
      <c r="G347" s="18" t="s">
        <v>818</v>
      </c>
      <c r="H347" s="18">
        <v>1</v>
      </c>
      <c r="I347" s="4" t="s">
        <v>829</v>
      </c>
      <c r="J347" s="4"/>
      <c r="K347" s="4"/>
      <c r="L347" s="4"/>
      <c r="M347" s="4"/>
      <c r="N347" s="25">
        <v>24.788900000000002</v>
      </c>
      <c r="O347" s="25">
        <v>59.422490000000003</v>
      </c>
      <c r="P347" s="4" t="s">
        <v>882</v>
      </c>
      <c r="Q347" s="4" t="s">
        <v>782</v>
      </c>
      <c r="R347" s="4"/>
      <c r="S347" s="4"/>
      <c r="T347" s="4" t="str">
        <f t="shared" si="10"/>
        <v>PMG - Digiekraanid -  - Ülemiste Pylon - 1</v>
      </c>
      <c r="U347" s="4" t="str">
        <f t="shared" si="11"/>
        <v>PMG - Digiekraanid - Ülemiste Pylon</v>
      </c>
      <c r="V347" s="40">
        <v>44562</v>
      </c>
      <c r="W347" s="31"/>
    </row>
    <row r="348" spans="1:23" ht="15" x14ac:dyDescent="0.25">
      <c r="A348" s="4" t="s">
        <v>13</v>
      </c>
      <c r="B348" s="4" t="s">
        <v>782</v>
      </c>
      <c r="C348" s="4"/>
      <c r="D348" s="4"/>
      <c r="E348" s="4" t="s">
        <v>0</v>
      </c>
      <c r="F348" s="4" t="s">
        <v>0</v>
      </c>
      <c r="G348" s="18" t="s">
        <v>883</v>
      </c>
      <c r="H348" s="18">
        <v>1</v>
      </c>
      <c r="I348" s="4" t="s">
        <v>938</v>
      </c>
      <c r="J348" s="4"/>
      <c r="K348" s="4"/>
      <c r="L348" s="4"/>
      <c r="M348" s="4"/>
      <c r="N348" s="25">
        <v>24.758378</v>
      </c>
      <c r="O348" s="25">
        <v>59.437828000000003</v>
      </c>
      <c r="P348" s="4" t="s">
        <v>975</v>
      </c>
      <c r="Q348" s="4" t="s">
        <v>782</v>
      </c>
      <c r="R348" s="4"/>
      <c r="S348" s="4"/>
      <c r="T348" s="4" t="str">
        <f t="shared" si="10"/>
        <v>PMG - Digiekraanid -  - Foorum - 1</v>
      </c>
      <c r="U348" s="4" t="str">
        <f t="shared" si="11"/>
        <v>PMG - Digiekraanid - Foorum</v>
      </c>
      <c r="V348" s="40">
        <v>44562</v>
      </c>
      <c r="W348" s="31"/>
    </row>
    <row r="349" spans="1:23" ht="15" x14ac:dyDescent="0.25">
      <c r="A349" s="4" t="s">
        <v>13</v>
      </c>
      <c r="B349" s="4" t="s">
        <v>782</v>
      </c>
      <c r="C349" s="4"/>
      <c r="D349" s="4"/>
      <c r="E349" s="4" t="s">
        <v>0</v>
      </c>
      <c r="F349" s="4" t="s">
        <v>0</v>
      </c>
      <c r="G349" s="18" t="s">
        <v>884</v>
      </c>
      <c r="H349" s="18">
        <v>1</v>
      </c>
      <c r="I349" s="4" t="s">
        <v>939</v>
      </c>
      <c r="J349" s="4"/>
      <c r="K349" s="4"/>
      <c r="L349" s="4"/>
      <c r="M349" s="4"/>
      <c r="N349" s="25">
        <v>24.720220000000001</v>
      </c>
      <c r="O349" s="25">
        <v>59.393348000000003</v>
      </c>
      <c r="P349" s="4" t="s">
        <v>976</v>
      </c>
      <c r="Q349" s="4" t="s">
        <v>782</v>
      </c>
      <c r="R349" s="4"/>
      <c r="S349" s="4"/>
      <c r="T349" s="4" t="str">
        <f t="shared" si="10"/>
        <v>PMG - Digiekraanid -  - Järve Keskus - 1</v>
      </c>
      <c r="U349" s="4" t="str">
        <f t="shared" si="11"/>
        <v>PMG - Digiekraanid - Järve Keskus</v>
      </c>
      <c r="V349" s="40">
        <v>44562</v>
      </c>
      <c r="W349" s="31"/>
    </row>
    <row r="350" spans="1:23" ht="15" x14ac:dyDescent="0.25">
      <c r="A350" s="4" t="s">
        <v>13</v>
      </c>
      <c r="B350" s="4" t="s">
        <v>782</v>
      </c>
      <c r="C350" s="4"/>
      <c r="D350" s="4"/>
      <c r="E350" s="4" t="s">
        <v>0</v>
      </c>
      <c r="F350" s="4" t="s">
        <v>0</v>
      </c>
      <c r="G350" s="18" t="s">
        <v>885</v>
      </c>
      <c r="H350" s="18">
        <v>1</v>
      </c>
      <c r="I350" s="4" t="s">
        <v>940</v>
      </c>
      <c r="J350" s="4"/>
      <c r="K350" s="4"/>
      <c r="L350" s="4"/>
      <c r="M350" s="4"/>
      <c r="N350" s="25">
        <v>24.725268</v>
      </c>
      <c r="O350" s="25">
        <v>59.426934000000003</v>
      </c>
      <c r="P350" s="4" t="s">
        <v>977</v>
      </c>
      <c r="Q350" s="4" t="s">
        <v>782</v>
      </c>
      <c r="R350" s="4"/>
      <c r="S350" s="4"/>
      <c r="T350" s="4" t="str">
        <f t="shared" si="10"/>
        <v>PMG - Digiekraanid -  - Kristiine Keskus - 1</v>
      </c>
      <c r="U350" s="4" t="str">
        <f t="shared" si="11"/>
        <v>PMG - Digiekraanid - Kristiine Keskus</v>
      </c>
      <c r="V350" s="40">
        <v>44562</v>
      </c>
      <c r="W350" s="31"/>
    </row>
    <row r="351" spans="1:23" ht="15" x14ac:dyDescent="0.25">
      <c r="A351" s="4" t="s">
        <v>13</v>
      </c>
      <c r="B351" s="4" t="s">
        <v>782</v>
      </c>
      <c r="C351" s="4"/>
      <c r="D351" s="4"/>
      <c r="E351" s="4" t="s">
        <v>0</v>
      </c>
      <c r="F351" s="4" t="s">
        <v>0</v>
      </c>
      <c r="G351" s="18" t="s">
        <v>886</v>
      </c>
      <c r="H351" s="18">
        <v>1</v>
      </c>
      <c r="I351" s="4" t="s">
        <v>838</v>
      </c>
      <c r="J351" s="4"/>
      <c r="K351" s="4"/>
      <c r="L351" s="4"/>
      <c r="M351" s="4"/>
      <c r="N351" s="25">
        <v>24.863001000000001</v>
      </c>
      <c r="O351" s="25">
        <v>59.448973000000002</v>
      </c>
      <c r="P351" s="4" t="s">
        <v>978</v>
      </c>
      <c r="Q351" s="4" t="s">
        <v>782</v>
      </c>
      <c r="R351" s="4"/>
      <c r="S351" s="4"/>
      <c r="T351" s="4" t="str">
        <f t="shared" si="10"/>
        <v>PMG - Digiekraanid -  - Lasnamäe Tervisemaja - 1</v>
      </c>
      <c r="U351" s="4" t="str">
        <f t="shared" si="11"/>
        <v>PMG - Digiekraanid - Lasnamäe Tervisemaja</v>
      </c>
      <c r="V351" s="40">
        <v>44562</v>
      </c>
      <c r="W351" s="31"/>
    </row>
    <row r="352" spans="1:23" ht="15" x14ac:dyDescent="0.25">
      <c r="A352" s="4" t="s">
        <v>13</v>
      </c>
      <c r="B352" s="4" t="s">
        <v>782</v>
      </c>
      <c r="C352" s="4"/>
      <c r="D352" s="4"/>
      <c r="E352" s="4" t="s">
        <v>0</v>
      </c>
      <c r="F352" s="4" t="s">
        <v>0</v>
      </c>
      <c r="G352" s="18" t="s">
        <v>887</v>
      </c>
      <c r="H352" s="18">
        <v>1</v>
      </c>
      <c r="I352" s="4" t="s">
        <v>941</v>
      </c>
      <c r="J352" s="4"/>
      <c r="K352" s="4"/>
      <c r="L352" s="4"/>
      <c r="M352" s="4"/>
      <c r="N352" s="25">
        <v>24.799619</v>
      </c>
      <c r="O352" s="25">
        <v>59.417011000000002</v>
      </c>
      <c r="P352" s="4" t="s">
        <v>979</v>
      </c>
      <c r="Q352" s="4" t="s">
        <v>782</v>
      </c>
      <c r="R352" s="4"/>
      <c r="S352" s="4"/>
      <c r="T352" s="4" t="str">
        <f t="shared" si="10"/>
        <v>PMG - Digiekraanid -  - Lennujaama Pagasisaali LED  - 1</v>
      </c>
      <c r="U352" s="4" t="str">
        <f t="shared" si="11"/>
        <v xml:space="preserve">PMG - Digiekraanid - Lennujaama Pagasisaali LED </v>
      </c>
      <c r="V352" s="40">
        <v>44562</v>
      </c>
      <c r="W352" s="31"/>
    </row>
    <row r="353" spans="1:23" ht="15" x14ac:dyDescent="0.25">
      <c r="A353" s="4" t="s">
        <v>13</v>
      </c>
      <c r="B353" s="4" t="s">
        <v>782</v>
      </c>
      <c r="C353" s="4"/>
      <c r="D353" s="4"/>
      <c r="E353" s="4" t="s">
        <v>0</v>
      </c>
      <c r="F353" s="4" t="s">
        <v>0</v>
      </c>
      <c r="G353" s="18" t="s">
        <v>888</v>
      </c>
      <c r="H353" s="18">
        <v>1</v>
      </c>
      <c r="I353" s="4" t="s">
        <v>941</v>
      </c>
      <c r="J353" s="4"/>
      <c r="K353" s="4"/>
      <c r="L353" s="4"/>
      <c r="M353" s="4"/>
      <c r="N353" s="25">
        <v>24.8003903</v>
      </c>
      <c r="O353" s="25">
        <v>59.416319999999999</v>
      </c>
      <c r="P353" s="4" t="s">
        <v>979</v>
      </c>
      <c r="Q353" s="4" t="s">
        <v>782</v>
      </c>
      <c r="R353" s="4"/>
      <c r="S353" s="4"/>
      <c r="T353" s="4" t="str">
        <f t="shared" si="10"/>
        <v>PMG - Digiekraanid -  - Lennujaam Väravate LED  - 1</v>
      </c>
      <c r="U353" s="4" t="str">
        <f t="shared" si="11"/>
        <v xml:space="preserve">PMG - Digiekraanid - Lennujaam Väravate LED </v>
      </c>
      <c r="V353" s="40">
        <v>44562</v>
      </c>
      <c r="W353" s="31"/>
    </row>
    <row r="354" spans="1:23" ht="15" x14ac:dyDescent="0.25">
      <c r="A354" s="4" t="s">
        <v>13</v>
      </c>
      <c r="B354" s="4" t="s">
        <v>782</v>
      </c>
      <c r="C354" s="4"/>
      <c r="D354" s="4"/>
      <c r="E354" s="4" t="s">
        <v>0</v>
      </c>
      <c r="F354" s="4" t="s">
        <v>0</v>
      </c>
      <c r="G354" s="18" t="s">
        <v>889</v>
      </c>
      <c r="H354" s="18">
        <v>1</v>
      </c>
      <c r="I354" s="4" t="s">
        <v>942</v>
      </c>
      <c r="J354" s="4"/>
      <c r="K354" s="4"/>
      <c r="L354" s="4"/>
      <c r="M354" s="4"/>
      <c r="N354" s="25">
        <v>24.69755</v>
      </c>
      <c r="O354" s="25">
        <v>59.401609999999998</v>
      </c>
      <c r="P354" s="4" t="s">
        <v>980</v>
      </c>
      <c r="Q354" s="4" t="s">
        <v>782</v>
      </c>
      <c r="R354" s="4"/>
      <c r="S354" s="4"/>
      <c r="T354" s="4" t="str">
        <f t="shared" si="10"/>
        <v>PMG - Digiekraanid -  - Magistrali Keskus - 1</v>
      </c>
      <c r="U354" s="4" t="str">
        <f t="shared" si="11"/>
        <v>PMG - Digiekraanid - Magistrali Keskus</v>
      </c>
      <c r="V354" s="40">
        <v>44562</v>
      </c>
      <c r="W354" s="31"/>
    </row>
    <row r="355" spans="1:23" ht="15" x14ac:dyDescent="0.25">
      <c r="A355" s="4" t="s">
        <v>13</v>
      </c>
      <c r="B355" s="4" t="s">
        <v>782</v>
      </c>
      <c r="C355" s="4"/>
      <c r="D355" s="4"/>
      <c r="E355" s="4" t="s">
        <v>0</v>
      </c>
      <c r="F355" s="4" t="s">
        <v>0</v>
      </c>
      <c r="G355" s="18" t="s">
        <v>890</v>
      </c>
      <c r="H355" s="18">
        <v>1</v>
      </c>
      <c r="I355" s="4" t="s">
        <v>943</v>
      </c>
      <c r="J355" s="4"/>
      <c r="K355" s="4"/>
      <c r="L355" s="4"/>
      <c r="M355" s="4"/>
      <c r="N355" s="25">
        <v>24.873598999999999</v>
      </c>
      <c r="O355" s="25">
        <v>59.442211</v>
      </c>
      <c r="P355" s="4" t="s">
        <v>981</v>
      </c>
      <c r="Q355" s="4" t="s">
        <v>782</v>
      </c>
      <c r="R355" s="4"/>
      <c r="S355" s="4"/>
      <c r="T355" s="4" t="str">
        <f t="shared" si="10"/>
        <v>PMG - Digiekraanid -  - Mustakivi Keskus - 1</v>
      </c>
      <c r="U355" s="4" t="str">
        <f t="shared" si="11"/>
        <v>PMG - Digiekraanid - Mustakivi Keskus</v>
      </c>
      <c r="V355" s="40">
        <v>44562</v>
      </c>
      <c r="W355" s="31"/>
    </row>
    <row r="356" spans="1:23" ht="15" x14ac:dyDescent="0.25">
      <c r="A356" s="4" t="s">
        <v>13</v>
      </c>
      <c r="B356" s="4" t="s">
        <v>782</v>
      </c>
      <c r="C356" s="4"/>
      <c r="D356" s="4"/>
      <c r="E356" s="4" t="s">
        <v>0</v>
      </c>
      <c r="F356" s="4" t="s">
        <v>0</v>
      </c>
      <c r="G356" s="18" t="s">
        <v>891</v>
      </c>
      <c r="H356" s="18">
        <v>1</v>
      </c>
      <c r="I356" s="4" t="s">
        <v>822</v>
      </c>
      <c r="J356" s="4"/>
      <c r="K356" s="4"/>
      <c r="L356" s="4"/>
      <c r="M356" s="4"/>
      <c r="N356" s="25">
        <v>24.688580000000002</v>
      </c>
      <c r="O356" s="25">
        <v>59.4085295</v>
      </c>
      <c r="P356" s="4" t="s">
        <v>982</v>
      </c>
      <c r="Q356" s="4" t="s">
        <v>782</v>
      </c>
      <c r="R356" s="4"/>
      <c r="S356" s="4"/>
      <c r="T356" s="4" t="str">
        <f t="shared" si="10"/>
        <v>PMG - Digiekraanid -  - Mustamäe Keskus - 1</v>
      </c>
      <c r="U356" s="4" t="str">
        <f t="shared" si="11"/>
        <v>PMG - Digiekraanid - Mustamäe Keskus</v>
      </c>
      <c r="V356" s="40">
        <v>44562</v>
      </c>
      <c r="W356" s="31"/>
    </row>
    <row r="357" spans="1:23" ht="15" x14ac:dyDescent="0.25">
      <c r="A357" s="4" t="s">
        <v>13</v>
      </c>
      <c r="B357" s="4" t="s">
        <v>782</v>
      </c>
      <c r="C357" s="4"/>
      <c r="D357" s="4"/>
      <c r="E357" s="4" t="s">
        <v>0</v>
      </c>
      <c r="F357" s="4" t="s">
        <v>0</v>
      </c>
      <c r="G357" s="18" t="s">
        <v>892</v>
      </c>
      <c r="H357" s="18">
        <v>1</v>
      </c>
      <c r="I357" s="4" t="s">
        <v>944</v>
      </c>
      <c r="J357" s="4"/>
      <c r="K357" s="4"/>
      <c r="L357" s="4"/>
      <c r="M357" s="4"/>
      <c r="N357" s="25">
        <v>24.681802000000001</v>
      </c>
      <c r="O357" s="25">
        <v>59.410690000000002</v>
      </c>
      <c r="P357" s="4" t="s">
        <v>983</v>
      </c>
      <c r="Q357" s="4" t="s">
        <v>782</v>
      </c>
      <c r="R357" s="4"/>
      <c r="S357" s="4"/>
      <c r="T357" s="4" t="str">
        <f t="shared" si="10"/>
        <v>PMG - Digiekraanid -  - Mustika Keskus - 1</v>
      </c>
      <c r="U357" s="4" t="str">
        <f t="shared" si="11"/>
        <v>PMG - Digiekraanid - Mustika Keskus</v>
      </c>
      <c r="V357" s="40">
        <v>44562</v>
      </c>
      <c r="W357" s="31"/>
    </row>
    <row r="358" spans="1:23" ht="15" x14ac:dyDescent="0.25">
      <c r="A358" s="4" t="s">
        <v>13</v>
      </c>
      <c r="B358" s="4" t="s">
        <v>782</v>
      </c>
      <c r="C358" s="4"/>
      <c r="D358" s="4"/>
      <c r="E358" s="4" t="s">
        <v>0</v>
      </c>
      <c r="F358" s="4" t="s">
        <v>0</v>
      </c>
      <c r="G358" s="18" t="s">
        <v>893</v>
      </c>
      <c r="H358" s="18">
        <v>1</v>
      </c>
      <c r="I358" s="4" t="s">
        <v>945</v>
      </c>
      <c r="J358" s="4"/>
      <c r="K358" s="4"/>
      <c r="L358" s="4"/>
      <c r="M358" s="4"/>
      <c r="N358" s="25">
        <v>24.835063999999999</v>
      </c>
      <c r="O358" s="25">
        <v>59.468895230000001</v>
      </c>
      <c r="P358" s="4" t="s">
        <v>984</v>
      </c>
      <c r="Q358" s="4" t="s">
        <v>782</v>
      </c>
      <c r="R358" s="4"/>
      <c r="S358" s="4"/>
      <c r="T358" s="4" t="str">
        <f t="shared" si="10"/>
        <v>PMG - Digiekraanid -  - Pirita keskus - 1</v>
      </c>
      <c r="U358" s="4" t="str">
        <f t="shared" si="11"/>
        <v>PMG - Digiekraanid - Pirita keskus</v>
      </c>
      <c r="V358" s="40">
        <v>44562</v>
      </c>
      <c r="W358" s="31"/>
    </row>
    <row r="359" spans="1:23" ht="15" x14ac:dyDescent="0.25">
      <c r="A359" s="4" t="s">
        <v>13</v>
      </c>
      <c r="B359" s="4" t="s">
        <v>782</v>
      </c>
      <c r="C359" s="4"/>
      <c r="D359" s="4"/>
      <c r="E359" s="4" t="s">
        <v>0</v>
      </c>
      <c r="F359" s="4" t="s">
        <v>0</v>
      </c>
      <c r="G359" s="18" t="s">
        <v>894</v>
      </c>
      <c r="H359" s="18">
        <v>1</v>
      </c>
      <c r="I359" s="4" t="s">
        <v>946</v>
      </c>
      <c r="J359" s="4"/>
      <c r="K359" s="4"/>
      <c r="L359" s="4"/>
      <c r="M359" s="4"/>
      <c r="N359" s="25">
        <v>24.756636</v>
      </c>
      <c r="O359" s="25">
        <v>59.437522999999999</v>
      </c>
      <c r="P359" s="4" t="s">
        <v>985</v>
      </c>
      <c r="Q359" s="4" t="s">
        <v>782</v>
      </c>
      <c r="R359" s="4"/>
      <c r="S359" s="4"/>
      <c r="T359" s="4" t="str">
        <f t="shared" si="10"/>
        <v>PMG - Digiekraanid -  - Postimaja - 1</v>
      </c>
      <c r="U359" s="4" t="str">
        <f t="shared" si="11"/>
        <v>PMG - Digiekraanid - Postimaja</v>
      </c>
      <c r="V359" s="40">
        <v>44562</v>
      </c>
      <c r="W359" s="31"/>
    </row>
    <row r="360" spans="1:23" ht="15" x14ac:dyDescent="0.25">
      <c r="A360" s="4" t="s">
        <v>13</v>
      </c>
      <c r="B360" s="4" t="s">
        <v>782</v>
      </c>
      <c r="C360" s="4"/>
      <c r="D360" s="4"/>
      <c r="E360" s="4" t="s">
        <v>0</v>
      </c>
      <c r="F360" s="4" t="s">
        <v>0</v>
      </c>
      <c r="G360" s="18" t="s">
        <v>895</v>
      </c>
      <c r="H360" s="18">
        <v>1</v>
      </c>
      <c r="I360" s="4" t="s">
        <v>946</v>
      </c>
      <c r="J360" s="4"/>
      <c r="K360" s="4"/>
      <c r="L360" s="4"/>
      <c r="M360" s="4"/>
      <c r="N360" s="25">
        <v>24.756636</v>
      </c>
      <c r="O360" s="25">
        <v>59.437522999999999</v>
      </c>
      <c r="P360" s="4" t="s">
        <v>985</v>
      </c>
      <c r="Q360" s="4" t="s">
        <v>782</v>
      </c>
      <c r="R360" s="4"/>
      <c r="S360" s="4"/>
      <c r="T360" s="4" t="str">
        <f t="shared" si="10"/>
        <v>PMG - Digiekraanid -  - Postimaja Keskus sise-LED - 1</v>
      </c>
      <c r="U360" s="4" t="str">
        <f t="shared" si="11"/>
        <v>PMG - Digiekraanid - Postimaja Keskus sise-LED</v>
      </c>
      <c r="V360" s="40">
        <v>44562</v>
      </c>
      <c r="W360" s="31"/>
    </row>
    <row r="361" spans="1:23" ht="15" x14ac:dyDescent="0.25">
      <c r="A361" s="4" t="s">
        <v>13</v>
      </c>
      <c r="B361" s="4" t="s">
        <v>782</v>
      </c>
      <c r="C361" s="4"/>
      <c r="D361" s="4"/>
      <c r="E361" s="4" t="s">
        <v>0</v>
      </c>
      <c r="F361" s="4" t="s">
        <v>0</v>
      </c>
      <c r="G361" s="18" t="s">
        <v>896</v>
      </c>
      <c r="H361" s="18">
        <v>1</v>
      </c>
      <c r="I361" s="4" t="s">
        <v>486</v>
      </c>
      <c r="J361" s="4"/>
      <c r="K361" s="4"/>
      <c r="L361" s="4"/>
      <c r="M361" s="4"/>
      <c r="N361" s="25">
        <v>24.652729999999998</v>
      </c>
      <c r="O361" s="25">
        <v>59.426537600000003</v>
      </c>
      <c r="P361" s="4" t="s">
        <v>986</v>
      </c>
      <c r="Q361" s="4" t="s">
        <v>782</v>
      </c>
      <c r="R361" s="4"/>
      <c r="S361" s="4"/>
      <c r="T361" s="4" t="str">
        <f t="shared" si="10"/>
        <v>PMG - Digiekraanid -  - Rocca Al Mare Kaubanduskeskus - 1</v>
      </c>
      <c r="U361" s="4" t="str">
        <f t="shared" si="11"/>
        <v>PMG - Digiekraanid - Rocca Al Mare Kaubanduskeskus</v>
      </c>
      <c r="V361" s="40">
        <v>44562</v>
      </c>
      <c r="W361" s="31"/>
    </row>
    <row r="362" spans="1:23" ht="15" x14ac:dyDescent="0.25">
      <c r="A362" s="4" t="s">
        <v>13</v>
      </c>
      <c r="B362" s="4" t="s">
        <v>782</v>
      </c>
      <c r="C362" s="4"/>
      <c r="D362" s="4"/>
      <c r="E362" s="4" t="s">
        <v>0</v>
      </c>
      <c r="F362" s="4" t="s">
        <v>0</v>
      </c>
      <c r="G362" s="18" t="s">
        <v>897</v>
      </c>
      <c r="H362" s="18">
        <v>1</v>
      </c>
      <c r="I362" s="4" t="s">
        <v>947</v>
      </c>
      <c r="J362" s="4"/>
      <c r="K362" s="4"/>
      <c r="L362" s="4"/>
      <c r="M362" s="4"/>
      <c r="N362" s="25">
        <v>24.822887000000001</v>
      </c>
      <c r="O362" s="25">
        <v>59.443677000000001</v>
      </c>
      <c r="P362" s="4" t="s">
        <v>987</v>
      </c>
      <c r="Q362" s="4" t="s">
        <v>782</v>
      </c>
      <c r="R362" s="4"/>
      <c r="S362" s="4"/>
      <c r="T362" s="4" t="str">
        <f t="shared" si="10"/>
        <v>PMG - Digiekraanid -  - Smuuli XX Maxima - 1</v>
      </c>
      <c r="U362" s="4" t="str">
        <f t="shared" si="11"/>
        <v>PMG - Digiekraanid - Smuuli XX Maxima</v>
      </c>
      <c r="V362" s="40">
        <v>44562</v>
      </c>
      <c r="W362" s="31"/>
    </row>
    <row r="363" spans="1:23" ht="15" x14ac:dyDescent="0.25">
      <c r="A363" s="4" t="s">
        <v>13</v>
      </c>
      <c r="B363" s="4" t="s">
        <v>782</v>
      </c>
      <c r="C363" s="4"/>
      <c r="D363" s="4"/>
      <c r="E363" s="4" t="s">
        <v>0</v>
      </c>
      <c r="F363" s="4" t="s">
        <v>0</v>
      </c>
      <c r="G363" s="18" t="s">
        <v>898</v>
      </c>
      <c r="H363" s="18">
        <v>1</v>
      </c>
      <c r="I363" s="4" t="s">
        <v>948</v>
      </c>
      <c r="J363" s="4"/>
      <c r="K363" s="4"/>
      <c r="L363" s="4"/>
      <c r="M363" s="4"/>
      <c r="N363" s="25">
        <v>24.761258000000002</v>
      </c>
      <c r="O363" s="25">
        <v>59.432316</v>
      </c>
      <c r="P363" s="4" t="s">
        <v>988</v>
      </c>
      <c r="Q363" s="4" t="s">
        <v>782</v>
      </c>
      <c r="R363" s="4"/>
      <c r="S363" s="4"/>
      <c r="T363" s="4" t="str">
        <f t="shared" si="10"/>
        <v>PMG - Digiekraanid -  - Stockmann kaubamaja - 1</v>
      </c>
      <c r="U363" s="4" t="str">
        <f t="shared" si="11"/>
        <v>PMG - Digiekraanid - Stockmann kaubamaja</v>
      </c>
      <c r="V363" s="40">
        <v>44562</v>
      </c>
      <c r="W363" s="31"/>
    </row>
    <row r="364" spans="1:23" ht="15" x14ac:dyDescent="0.25">
      <c r="A364" s="4" t="s">
        <v>13</v>
      </c>
      <c r="B364" s="4" t="s">
        <v>782</v>
      </c>
      <c r="C364" s="4"/>
      <c r="D364" s="4"/>
      <c r="E364" s="4" t="s">
        <v>0</v>
      </c>
      <c r="F364" s="4" t="s">
        <v>0</v>
      </c>
      <c r="G364" s="18" t="s">
        <v>899</v>
      </c>
      <c r="H364" s="18">
        <v>1</v>
      </c>
      <c r="I364" s="4" t="s">
        <v>949</v>
      </c>
      <c r="J364" s="4"/>
      <c r="K364" s="4"/>
      <c r="L364" s="4"/>
      <c r="M364" s="4"/>
      <c r="N364" s="25">
        <v>24.692654000000001</v>
      </c>
      <c r="O364" s="25">
        <v>59.447235999999997</v>
      </c>
      <c r="P364" s="4" t="s">
        <v>989</v>
      </c>
      <c r="Q364" s="4" t="s">
        <v>782</v>
      </c>
      <c r="R364" s="4"/>
      <c r="S364" s="4"/>
      <c r="T364" s="4" t="str">
        <f t="shared" si="10"/>
        <v>PMG - Digiekraanid -  - Stroomi Keskus - 1</v>
      </c>
      <c r="U364" s="4" t="str">
        <f t="shared" si="11"/>
        <v>PMG - Digiekraanid - Stroomi Keskus</v>
      </c>
      <c r="V364" s="40">
        <v>44562</v>
      </c>
      <c r="W364" s="31"/>
    </row>
    <row r="365" spans="1:23" ht="15" x14ac:dyDescent="0.25">
      <c r="A365" s="4" t="s">
        <v>13</v>
      </c>
      <c r="B365" s="4" t="s">
        <v>782</v>
      </c>
      <c r="C365" s="4"/>
      <c r="D365" s="4"/>
      <c r="E365" s="4" t="s">
        <v>0</v>
      </c>
      <c r="F365" s="4" t="s">
        <v>0</v>
      </c>
      <c r="G365" s="18" t="s">
        <v>900</v>
      </c>
      <c r="H365" s="18">
        <v>1</v>
      </c>
      <c r="I365" s="4" t="s">
        <v>950</v>
      </c>
      <c r="J365" s="4"/>
      <c r="K365" s="4"/>
      <c r="L365" s="4"/>
      <c r="M365" s="4"/>
      <c r="N365" s="25">
        <v>24.801148000000001</v>
      </c>
      <c r="O365" s="25">
        <v>59.416364999999999</v>
      </c>
      <c r="P365" s="4" t="s">
        <v>979</v>
      </c>
      <c r="Q365" s="4" t="s">
        <v>782</v>
      </c>
      <c r="R365" s="4"/>
      <c r="S365" s="4"/>
      <c r="T365" s="4" t="str">
        <f t="shared" si="10"/>
        <v>PMG - Digiekraanid -  - Tallinna Lennujaam - 1</v>
      </c>
      <c r="U365" s="4" t="str">
        <f t="shared" si="11"/>
        <v>PMG - Digiekraanid - Tallinna Lennujaam</v>
      </c>
      <c r="V365" s="40">
        <v>44562</v>
      </c>
      <c r="W365" s="31"/>
    </row>
    <row r="366" spans="1:23" ht="15" x14ac:dyDescent="0.25">
      <c r="A366" s="4" t="s">
        <v>13</v>
      </c>
      <c r="B366" s="4" t="s">
        <v>782</v>
      </c>
      <c r="C366" s="4"/>
      <c r="D366" s="4"/>
      <c r="E366" s="4" t="s">
        <v>0</v>
      </c>
      <c r="F366" s="4" t="s">
        <v>0</v>
      </c>
      <c r="G366" s="18" t="s">
        <v>901</v>
      </c>
      <c r="H366" s="18">
        <v>1</v>
      </c>
      <c r="I366" s="4" t="s">
        <v>829</v>
      </c>
      <c r="J366" s="4"/>
      <c r="K366" s="4"/>
      <c r="L366" s="4"/>
      <c r="M366" s="4"/>
      <c r="N366" s="25">
        <v>24.794271999999999</v>
      </c>
      <c r="O366" s="25">
        <v>59.422302899999998</v>
      </c>
      <c r="P366" s="4" t="s">
        <v>990</v>
      </c>
      <c r="Q366" s="4" t="s">
        <v>782</v>
      </c>
      <c r="R366" s="4"/>
      <c r="S366" s="4"/>
      <c r="T366" s="4" t="str">
        <f t="shared" si="10"/>
        <v>PMG - Digiekraanid -  - Ülemiste aatriumi LED - 1</v>
      </c>
      <c r="U366" s="4" t="str">
        <f t="shared" si="11"/>
        <v>PMG - Digiekraanid - Ülemiste aatriumi LED</v>
      </c>
      <c r="V366" s="40">
        <v>44562</v>
      </c>
      <c r="W366" s="31"/>
    </row>
    <row r="367" spans="1:23" ht="15" x14ac:dyDescent="0.25">
      <c r="A367" s="4" t="s">
        <v>13</v>
      </c>
      <c r="B367" s="4" t="s">
        <v>782</v>
      </c>
      <c r="C367" s="4"/>
      <c r="D367" s="4"/>
      <c r="E367" s="4" t="s">
        <v>0</v>
      </c>
      <c r="F367" s="4" t="s">
        <v>0</v>
      </c>
      <c r="G367" s="18" t="s">
        <v>902</v>
      </c>
      <c r="H367" s="18">
        <v>1</v>
      </c>
      <c r="I367" s="4" t="s">
        <v>829</v>
      </c>
      <c r="J367" s="4"/>
      <c r="K367" s="4"/>
      <c r="L367" s="4"/>
      <c r="M367" s="4"/>
      <c r="N367" s="25">
        <v>24.793386999999999</v>
      </c>
      <c r="O367" s="25">
        <v>59.421449000000003</v>
      </c>
      <c r="P367" s="4" t="s">
        <v>991</v>
      </c>
      <c r="Q367" s="4" t="s">
        <v>782</v>
      </c>
      <c r="R367" s="4"/>
      <c r="S367" s="4"/>
      <c r="T367" s="4" t="str">
        <f t="shared" si="10"/>
        <v>PMG - Digiekraanid -  - Ülemiste infoleti LED - 1</v>
      </c>
      <c r="U367" s="4" t="str">
        <f t="shared" si="11"/>
        <v>PMG - Digiekraanid - Ülemiste infoleti LED</v>
      </c>
      <c r="V367" s="40">
        <v>44562</v>
      </c>
      <c r="W367" s="31"/>
    </row>
    <row r="368" spans="1:23" ht="15" x14ac:dyDescent="0.25">
      <c r="A368" s="4" t="s">
        <v>13</v>
      </c>
      <c r="B368" s="4" t="s">
        <v>782</v>
      </c>
      <c r="C368" s="4"/>
      <c r="D368" s="4"/>
      <c r="E368" s="4" t="s">
        <v>0</v>
      </c>
      <c r="F368" s="4" t="s">
        <v>0</v>
      </c>
      <c r="G368" s="18" t="s">
        <v>903</v>
      </c>
      <c r="H368" s="18">
        <v>1</v>
      </c>
      <c r="I368" s="4" t="s">
        <v>829</v>
      </c>
      <c r="J368" s="4"/>
      <c r="K368" s="4"/>
      <c r="L368" s="4"/>
      <c r="M368" s="4"/>
      <c r="N368" s="25">
        <v>24.793531999999999</v>
      </c>
      <c r="O368" s="25">
        <v>59.421779000000001</v>
      </c>
      <c r="P368" s="4" t="s">
        <v>992</v>
      </c>
      <c r="Q368" s="4" t="s">
        <v>782</v>
      </c>
      <c r="R368" s="4"/>
      <c r="S368" s="4"/>
      <c r="T368" s="4" t="str">
        <f t="shared" si="10"/>
        <v>PMG - Digiekraanid -  - Ülemiste Keskus - 1</v>
      </c>
      <c r="U368" s="4" t="str">
        <f t="shared" si="11"/>
        <v>PMG - Digiekraanid - Ülemiste Keskus</v>
      </c>
      <c r="V368" s="40">
        <v>44562</v>
      </c>
      <c r="W368" s="31"/>
    </row>
    <row r="369" spans="1:23" ht="15" x14ac:dyDescent="0.25">
      <c r="A369" s="4" t="s">
        <v>13</v>
      </c>
      <c r="B369" s="4" t="s">
        <v>782</v>
      </c>
      <c r="C369" s="4"/>
      <c r="D369" s="4"/>
      <c r="E369" s="4" t="s">
        <v>0</v>
      </c>
      <c r="F369" s="4" t="s">
        <v>0</v>
      </c>
      <c r="G369" s="18" t="s">
        <v>904</v>
      </c>
      <c r="H369" s="18">
        <v>1</v>
      </c>
      <c r="I369" s="4" t="s">
        <v>951</v>
      </c>
      <c r="J369" s="4"/>
      <c r="K369" s="4"/>
      <c r="L369" s="4"/>
      <c r="M369" s="4"/>
      <c r="N369" s="25">
        <v>24.827210000000001</v>
      </c>
      <c r="O369" s="25">
        <v>59.504812000000001</v>
      </c>
      <c r="P369" s="4" t="s">
        <v>993</v>
      </c>
      <c r="Q369" s="4" t="s">
        <v>782</v>
      </c>
      <c r="R369" s="4"/>
      <c r="S369" s="4"/>
      <c r="T369" s="4" t="str">
        <f t="shared" si="10"/>
        <v>PMG - Digiekraanid -  - Viimsi Keskus - 1</v>
      </c>
      <c r="U369" s="4" t="str">
        <f t="shared" si="11"/>
        <v>PMG - Digiekraanid - Viimsi Keskus</v>
      </c>
      <c r="V369" s="40">
        <v>44562</v>
      </c>
      <c r="W369" s="31"/>
    </row>
    <row r="370" spans="1:23" ht="15" x14ac:dyDescent="0.25">
      <c r="A370" s="4" t="s">
        <v>13</v>
      </c>
      <c r="B370" s="4" t="s">
        <v>782</v>
      </c>
      <c r="C370" s="4"/>
      <c r="D370" s="4"/>
      <c r="E370" s="4" t="s">
        <v>0</v>
      </c>
      <c r="F370" s="4" t="s">
        <v>0</v>
      </c>
      <c r="G370" s="18" t="s">
        <v>905</v>
      </c>
      <c r="H370" s="18">
        <v>1</v>
      </c>
      <c r="I370" s="4" t="s">
        <v>952</v>
      </c>
      <c r="J370" s="4"/>
      <c r="K370" s="4"/>
      <c r="L370" s="4"/>
      <c r="M370" s="4"/>
      <c r="N370" s="25">
        <v>24.828498</v>
      </c>
      <c r="O370" s="25">
        <v>59.505505999999997</v>
      </c>
      <c r="P370" s="4" t="s">
        <v>994</v>
      </c>
      <c r="Q370" s="4" t="s">
        <v>782</v>
      </c>
      <c r="R370" s="4"/>
      <c r="S370" s="4"/>
      <c r="T370" s="4" t="str">
        <f t="shared" si="10"/>
        <v>PMG - Digiekraanid -  - Viimsi Market - 1</v>
      </c>
      <c r="U370" s="4" t="str">
        <f t="shared" si="11"/>
        <v>PMG - Digiekraanid - Viimsi Market</v>
      </c>
      <c r="V370" s="40">
        <v>44562</v>
      </c>
      <c r="W370" s="31"/>
    </row>
    <row r="371" spans="1:23" ht="15" x14ac:dyDescent="0.25">
      <c r="A371" s="4" t="s">
        <v>13</v>
      </c>
      <c r="B371" s="4" t="s">
        <v>782</v>
      </c>
      <c r="C371" s="4"/>
      <c r="D371" s="4"/>
      <c r="E371" s="4" t="s">
        <v>776</v>
      </c>
      <c r="F371" s="4" t="s">
        <v>776</v>
      </c>
      <c r="G371" s="18" t="s">
        <v>906</v>
      </c>
      <c r="H371" s="18">
        <v>1</v>
      </c>
      <c r="I371" s="4" t="s">
        <v>953</v>
      </c>
      <c r="J371" s="4"/>
      <c r="K371" s="4"/>
      <c r="L371" s="4"/>
      <c r="M371" s="4"/>
      <c r="N371" s="25">
        <v>26.728469</v>
      </c>
      <c r="O371" s="25">
        <v>58.376798000000001</v>
      </c>
      <c r="P371" s="4" t="s">
        <v>995</v>
      </c>
      <c r="Q371" s="4" t="s">
        <v>782</v>
      </c>
      <c r="R371" s="4"/>
      <c r="S371" s="4"/>
      <c r="T371" s="4" t="str">
        <f t="shared" si="10"/>
        <v>PMG - Digiekraanid -  - Aleksandri LED - 1</v>
      </c>
      <c r="U371" s="4" t="str">
        <f t="shared" si="11"/>
        <v>PMG - Digiekraanid - Aleksandri LED</v>
      </c>
      <c r="V371" s="40">
        <v>44562</v>
      </c>
      <c r="W371" s="31"/>
    </row>
    <row r="372" spans="1:23" ht="15" x14ac:dyDescent="0.25">
      <c r="A372" s="4" t="s">
        <v>13</v>
      </c>
      <c r="B372" s="4" t="s">
        <v>782</v>
      </c>
      <c r="C372" s="4"/>
      <c r="D372" s="4"/>
      <c r="E372" s="4" t="s">
        <v>776</v>
      </c>
      <c r="F372" s="4" t="s">
        <v>776</v>
      </c>
      <c r="G372" s="18" t="s">
        <v>907</v>
      </c>
      <c r="H372" s="18">
        <v>1</v>
      </c>
      <c r="I372" s="4" t="s">
        <v>954</v>
      </c>
      <c r="J372" s="4"/>
      <c r="K372" s="4"/>
      <c r="L372" s="4"/>
      <c r="M372" s="4"/>
      <c r="N372" s="25">
        <v>26.749146</v>
      </c>
      <c r="O372" s="25">
        <v>58.374085000000001</v>
      </c>
      <c r="P372" s="4" t="s">
        <v>996</v>
      </c>
      <c r="Q372" s="4" t="s">
        <v>782</v>
      </c>
      <c r="R372" s="4"/>
      <c r="S372" s="4"/>
      <c r="T372" s="4" t="str">
        <f t="shared" si="10"/>
        <v>PMG - Digiekraanid -  - Eeden LED - 1</v>
      </c>
      <c r="U372" s="4" t="str">
        <f t="shared" si="11"/>
        <v>PMG - Digiekraanid - Eeden LED</v>
      </c>
      <c r="V372" s="40">
        <v>44562</v>
      </c>
      <c r="W372" s="31"/>
    </row>
    <row r="373" spans="1:23" ht="15" x14ac:dyDescent="0.25">
      <c r="A373" s="4" t="s">
        <v>13</v>
      </c>
      <c r="B373" s="4" t="s">
        <v>782</v>
      </c>
      <c r="C373" s="4"/>
      <c r="D373" s="4"/>
      <c r="E373" s="4" t="s">
        <v>776</v>
      </c>
      <c r="F373" s="4" t="s">
        <v>776</v>
      </c>
      <c r="G373" s="18" t="s">
        <v>908</v>
      </c>
      <c r="H373" s="18">
        <v>1</v>
      </c>
      <c r="I373" s="4" t="s">
        <v>955</v>
      </c>
      <c r="J373" s="4"/>
      <c r="K373" s="4"/>
      <c r="L373" s="4"/>
      <c r="M373" s="4"/>
      <c r="N373" s="25">
        <v>26.730391999999998</v>
      </c>
      <c r="O373" s="25">
        <v>58.378734999999999</v>
      </c>
      <c r="P373" s="4" t="s">
        <v>997</v>
      </c>
      <c r="Q373" s="4" t="s">
        <v>782</v>
      </c>
      <c r="R373" s="4"/>
      <c r="S373" s="4"/>
      <c r="T373" s="4" t="str">
        <f t="shared" si="10"/>
        <v>PMG - Digiekraanid -  - Emajõe LED - 1</v>
      </c>
      <c r="U373" s="4" t="str">
        <f t="shared" si="11"/>
        <v>PMG - Digiekraanid - Emajõe LED</v>
      </c>
      <c r="V373" s="40">
        <v>44562</v>
      </c>
      <c r="W373" s="31"/>
    </row>
    <row r="374" spans="1:23" ht="15" x14ac:dyDescent="0.25">
      <c r="A374" s="4" t="s">
        <v>13</v>
      </c>
      <c r="B374" s="4" t="s">
        <v>782</v>
      </c>
      <c r="C374" s="4"/>
      <c r="D374" s="4"/>
      <c r="E374" s="4" t="s">
        <v>776</v>
      </c>
      <c r="F374" s="4" t="s">
        <v>776</v>
      </c>
      <c r="G374" s="18" t="s">
        <v>909</v>
      </c>
      <c r="H374" s="18">
        <v>1</v>
      </c>
      <c r="I374" s="4" t="s">
        <v>956</v>
      </c>
      <c r="J374" s="4"/>
      <c r="K374" s="4"/>
      <c r="L374" s="4"/>
      <c r="M374" s="4"/>
      <c r="N374" s="25">
        <v>26.728992000000002</v>
      </c>
      <c r="O374" s="25">
        <v>58.377479000000001</v>
      </c>
      <c r="P374" s="4" t="s">
        <v>998</v>
      </c>
      <c r="Q374" s="4" t="s">
        <v>782</v>
      </c>
      <c r="R374" s="4"/>
      <c r="S374" s="4"/>
      <c r="T374" s="4" t="str">
        <f t="shared" si="10"/>
        <v>PMG - Digiekraanid -  - Kvartal LED - 1</v>
      </c>
      <c r="U374" s="4" t="str">
        <f t="shared" si="11"/>
        <v>PMG - Digiekraanid - Kvartal LED</v>
      </c>
      <c r="V374" s="40">
        <v>44562</v>
      </c>
      <c r="W374" s="31"/>
    </row>
    <row r="375" spans="1:23" ht="15" x14ac:dyDescent="0.25">
      <c r="A375" s="4" t="s">
        <v>13</v>
      </c>
      <c r="B375" s="4" t="s">
        <v>782</v>
      </c>
      <c r="C375" s="4"/>
      <c r="D375" s="4"/>
      <c r="E375" s="4" t="s">
        <v>776</v>
      </c>
      <c r="F375" s="4" t="s">
        <v>776</v>
      </c>
      <c r="G375" s="18" t="s">
        <v>910</v>
      </c>
      <c r="H375" s="18">
        <v>1</v>
      </c>
      <c r="I375" s="4" t="s">
        <v>957</v>
      </c>
      <c r="J375" s="4"/>
      <c r="K375" s="4"/>
      <c r="L375" s="4"/>
      <c r="M375" s="4"/>
      <c r="N375" s="25">
        <v>26.676591999999999</v>
      </c>
      <c r="O375" s="25">
        <v>58.358910999999999</v>
      </c>
      <c r="P375" s="4" t="s">
        <v>997</v>
      </c>
      <c r="Q375" s="4" t="s">
        <v>782</v>
      </c>
      <c r="R375" s="4"/>
      <c r="S375" s="4"/>
      <c r="T375" s="4" t="str">
        <f t="shared" si="10"/>
        <v>PMG - Digiekraanid -  - Lõunakeskus LED - 1</v>
      </c>
      <c r="U375" s="4" t="str">
        <f t="shared" si="11"/>
        <v>PMG - Digiekraanid - Lõunakeskus LED</v>
      </c>
      <c r="V375" s="40">
        <v>44562</v>
      </c>
      <c r="W375" s="31"/>
    </row>
    <row r="376" spans="1:23" ht="15" x14ac:dyDescent="0.25">
      <c r="A376" s="4" t="s">
        <v>13</v>
      </c>
      <c r="B376" s="4" t="s">
        <v>782</v>
      </c>
      <c r="C376" s="4"/>
      <c r="D376" s="4"/>
      <c r="E376" s="4" t="s">
        <v>776</v>
      </c>
      <c r="F376" s="4" t="s">
        <v>776</v>
      </c>
      <c r="G376" s="18" t="s">
        <v>911</v>
      </c>
      <c r="H376" s="18">
        <v>1</v>
      </c>
      <c r="I376" s="4" t="s">
        <v>958</v>
      </c>
      <c r="J376" s="4"/>
      <c r="K376" s="4"/>
      <c r="L376" s="4"/>
      <c r="M376" s="4"/>
      <c r="N376" s="25">
        <v>26.731776</v>
      </c>
      <c r="O376" s="25">
        <v>58.342556000000002</v>
      </c>
      <c r="P376" s="4" t="s">
        <v>999</v>
      </c>
      <c r="Q376" s="4" t="s">
        <v>782</v>
      </c>
      <c r="R376" s="4"/>
      <c r="S376" s="4"/>
      <c r="T376" s="4" t="str">
        <f t="shared" si="10"/>
        <v>PMG - Digiekraanid -  - Ringtee 35 LED - 1</v>
      </c>
      <c r="U376" s="4" t="str">
        <f t="shared" si="11"/>
        <v>PMG - Digiekraanid - Ringtee 35 LED</v>
      </c>
      <c r="V376" s="40">
        <v>44562</v>
      </c>
      <c r="W376" s="31"/>
    </row>
    <row r="377" spans="1:23" ht="15" x14ac:dyDescent="0.25">
      <c r="A377" s="4" t="s">
        <v>13</v>
      </c>
      <c r="B377" s="4" t="s">
        <v>782</v>
      </c>
      <c r="C377" s="4"/>
      <c r="D377" s="4"/>
      <c r="E377" s="4" t="s">
        <v>776</v>
      </c>
      <c r="F377" s="4" t="s">
        <v>776</v>
      </c>
      <c r="G377" s="18" t="s">
        <v>912</v>
      </c>
      <c r="H377" s="18">
        <v>1</v>
      </c>
      <c r="I377" s="4" t="s">
        <v>959</v>
      </c>
      <c r="J377" s="4"/>
      <c r="K377" s="4"/>
      <c r="L377" s="4"/>
      <c r="M377" s="4"/>
      <c r="N377" s="25">
        <v>26.728252000000001</v>
      </c>
      <c r="O377" s="25">
        <v>58.377920000000003</v>
      </c>
      <c r="P377" s="4" t="s">
        <v>1000</v>
      </c>
      <c r="Q377" s="4" t="s">
        <v>782</v>
      </c>
      <c r="R377" s="4"/>
      <c r="S377" s="4"/>
      <c r="T377" s="4" t="str">
        <f t="shared" si="10"/>
        <v>PMG - Digiekraanid -  - Tartu Kaubamaja LED - 1</v>
      </c>
      <c r="U377" s="4" t="str">
        <f t="shared" si="11"/>
        <v>PMG - Digiekraanid - Tartu Kaubamaja LED</v>
      </c>
      <c r="V377" s="40">
        <v>44562</v>
      </c>
      <c r="W377" s="31"/>
    </row>
    <row r="378" spans="1:23" ht="15" x14ac:dyDescent="0.25">
      <c r="A378" s="4" t="s">
        <v>13</v>
      </c>
      <c r="B378" s="4" t="s">
        <v>782</v>
      </c>
      <c r="C378" s="4"/>
      <c r="D378" s="4"/>
      <c r="E378" s="4" t="s">
        <v>776</v>
      </c>
      <c r="F378" s="4" t="s">
        <v>776</v>
      </c>
      <c r="G378" s="18" t="s">
        <v>913</v>
      </c>
      <c r="H378" s="18">
        <v>1</v>
      </c>
      <c r="I378" s="4" t="s">
        <v>955</v>
      </c>
      <c r="J378" s="4"/>
      <c r="K378" s="4"/>
      <c r="L378" s="4"/>
      <c r="M378" s="4"/>
      <c r="N378" s="25">
        <v>26.729914999999998</v>
      </c>
      <c r="O378" s="25">
        <v>58.377892000000003</v>
      </c>
      <c r="P378" s="4" t="s">
        <v>1001</v>
      </c>
      <c r="Q378" s="4" t="s">
        <v>782</v>
      </c>
      <c r="R378" s="4"/>
      <c r="S378" s="4"/>
      <c r="T378" s="4" t="str">
        <f t="shared" si="10"/>
        <v>PMG - Digiekraanid -  - Tasku LED - 1</v>
      </c>
      <c r="U378" s="4" t="str">
        <f t="shared" si="11"/>
        <v>PMG - Digiekraanid - Tasku LED</v>
      </c>
      <c r="V378" s="40">
        <v>44562</v>
      </c>
      <c r="W378" s="31"/>
    </row>
    <row r="379" spans="1:23" ht="15" x14ac:dyDescent="0.25">
      <c r="A379" s="4" t="s">
        <v>13</v>
      </c>
      <c r="B379" s="4" t="s">
        <v>782</v>
      </c>
      <c r="C379" s="4"/>
      <c r="D379" s="4"/>
      <c r="E379" s="4" t="s">
        <v>776</v>
      </c>
      <c r="F379" s="4" t="s">
        <v>776</v>
      </c>
      <c r="G379" s="18" t="s">
        <v>914</v>
      </c>
      <c r="H379" s="18">
        <v>1</v>
      </c>
      <c r="I379" s="4" t="s">
        <v>954</v>
      </c>
      <c r="J379" s="4"/>
      <c r="K379" s="4"/>
      <c r="L379" s="4"/>
      <c r="M379" s="4"/>
      <c r="N379" s="25">
        <v>26.750208000000001</v>
      </c>
      <c r="O379" s="25">
        <v>58.373232999999999</v>
      </c>
      <c r="P379" s="4" t="s">
        <v>1002</v>
      </c>
      <c r="Q379" s="4" t="s">
        <v>782</v>
      </c>
      <c r="R379" s="4"/>
      <c r="S379" s="4"/>
      <c r="T379" s="4" t="str">
        <f t="shared" si="10"/>
        <v>PMG - Digiekraanid -  - Eeden Keskus - 1</v>
      </c>
      <c r="U379" s="4" t="str">
        <f t="shared" si="11"/>
        <v>PMG - Digiekraanid - Eeden Keskus</v>
      </c>
      <c r="V379" s="40">
        <v>44562</v>
      </c>
      <c r="W379" s="31"/>
    </row>
    <row r="380" spans="1:23" ht="15" x14ac:dyDescent="0.25">
      <c r="A380" s="4" t="s">
        <v>13</v>
      </c>
      <c r="B380" s="4" t="s">
        <v>782</v>
      </c>
      <c r="C380" s="4"/>
      <c r="D380" s="4"/>
      <c r="E380" s="4" t="s">
        <v>776</v>
      </c>
      <c r="F380" s="4" t="s">
        <v>776</v>
      </c>
      <c r="G380" s="18" t="s">
        <v>915</v>
      </c>
      <c r="H380" s="18">
        <v>1</v>
      </c>
      <c r="I380" s="4" t="s">
        <v>956</v>
      </c>
      <c r="J380" s="4"/>
      <c r="K380" s="4"/>
      <c r="L380" s="4"/>
      <c r="M380" s="4"/>
      <c r="N380" s="25">
        <v>26.728866</v>
      </c>
      <c r="O380" s="25">
        <v>58.377116000000001</v>
      </c>
      <c r="P380" s="4" t="s">
        <v>1003</v>
      </c>
      <c r="Q380" s="4" t="s">
        <v>782</v>
      </c>
      <c r="R380" s="4"/>
      <c r="S380" s="4"/>
      <c r="T380" s="4" t="str">
        <f t="shared" si="10"/>
        <v>PMG - Digiekraanid -  - Kvartal - 1</v>
      </c>
      <c r="U380" s="4" t="str">
        <f t="shared" si="11"/>
        <v>PMG - Digiekraanid - Kvartal</v>
      </c>
      <c r="V380" s="40">
        <v>44562</v>
      </c>
      <c r="W380" s="31"/>
    </row>
    <row r="381" spans="1:23" ht="15" x14ac:dyDescent="0.25">
      <c r="A381" s="4" t="s">
        <v>13</v>
      </c>
      <c r="B381" s="4" t="s">
        <v>782</v>
      </c>
      <c r="C381" s="4"/>
      <c r="D381" s="4"/>
      <c r="E381" s="4" t="s">
        <v>776</v>
      </c>
      <c r="F381" s="4" t="s">
        <v>776</v>
      </c>
      <c r="G381" s="18" t="s">
        <v>916</v>
      </c>
      <c r="H381" s="18">
        <v>1</v>
      </c>
      <c r="I381" s="4" t="s">
        <v>957</v>
      </c>
      <c r="J381" s="4"/>
      <c r="K381" s="4"/>
      <c r="L381" s="4"/>
      <c r="M381" s="4"/>
      <c r="N381" s="25">
        <v>26.676801000000001</v>
      </c>
      <c r="O381" s="25">
        <v>58.358370999999998</v>
      </c>
      <c r="P381" s="4" t="s">
        <v>1004</v>
      </c>
      <c r="Q381" s="4" t="s">
        <v>782</v>
      </c>
      <c r="R381" s="4"/>
      <c r="S381" s="4"/>
      <c r="T381" s="4" t="str">
        <f t="shared" si="10"/>
        <v>PMG - Digiekraanid -  - Lõunakeskus - 1</v>
      </c>
      <c r="U381" s="4" t="str">
        <f t="shared" si="11"/>
        <v>PMG - Digiekraanid - Lõunakeskus</v>
      </c>
      <c r="V381" s="40">
        <v>44562</v>
      </c>
      <c r="W381" s="31"/>
    </row>
    <row r="382" spans="1:23" ht="15" x14ac:dyDescent="0.25">
      <c r="A382" s="4" t="s">
        <v>13</v>
      </c>
      <c r="B382" s="4" t="s">
        <v>782</v>
      </c>
      <c r="C382" s="4"/>
      <c r="D382" s="4"/>
      <c r="E382" s="4" t="s">
        <v>776</v>
      </c>
      <c r="F382" s="4" t="s">
        <v>776</v>
      </c>
      <c r="G382" s="18" t="s">
        <v>917</v>
      </c>
      <c r="H382" s="18">
        <v>1</v>
      </c>
      <c r="I382" s="4" t="s">
        <v>957</v>
      </c>
      <c r="J382" s="4"/>
      <c r="K382" s="4"/>
      <c r="L382" s="4"/>
      <c r="M382" s="4"/>
      <c r="N382" s="25">
        <v>26.678660000000001</v>
      </c>
      <c r="O382" s="25">
        <v>58.357719000000003</v>
      </c>
      <c r="P382" s="4" t="s">
        <v>1005</v>
      </c>
      <c r="Q382" s="4" t="s">
        <v>782</v>
      </c>
      <c r="R382" s="4"/>
      <c r="S382" s="4"/>
      <c r="T382" s="4" t="str">
        <f t="shared" si="10"/>
        <v>PMG - Digiekraanid -  - Lõunakeskus sise-LED - 1</v>
      </c>
      <c r="U382" s="4" t="str">
        <f t="shared" si="11"/>
        <v>PMG - Digiekraanid - Lõunakeskus sise-LED</v>
      </c>
      <c r="V382" s="40">
        <v>44562</v>
      </c>
      <c r="W382" s="31"/>
    </row>
    <row r="383" spans="1:23" ht="15" x14ac:dyDescent="0.25">
      <c r="A383" s="4" t="s">
        <v>13</v>
      </c>
      <c r="B383" s="4" t="s">
        <v>782</v>
      </c>
      <c r="C383" s="4"/>
      <c r="D383" s="4"/>
      <c r="E383" s="4" t="s">
        <v>776</v>
      </c>
      <c r="F383" s="4" t="s">
        <v>776</v>
      </c>
      <c r="G383" s="18" t="s">
        <v>918</v>
      </c>
      <c r="H383" s="18">
        <v>1</v>
      </c>
      <c r="I383" s="4" t="s">
        <v>955</v>
      </c>
      <c r="J383" s="4"/>
      <c r="K383" s="4"/>
      <c r="L383" s="4"/>
      <c r="M383" s="4"/>
      <c r="N383" s="25">
        <v>26.730831999999999</v>
      </c>
      <c r="O383" s="25">
        <v>58.378107999999997</v>
      </c>
      <c r="P383" s="4" t="s">
        <v>1006</v>
      </c>
      <c r="Q383" s="4" t="s">
        <v>782</v>
      </c>
      <c r="R383" s="4"/>
      <c r="S383" s="4"/>
      <c r="T383" s="4" t="str">
        <f t="shared" si="10"/>
        <v>PMG - Digiekraanid -  - Tasku Keskus - 1</v>
      </c>
      <c r="U383" s="4" t="str">
        <f t="shared" si="11"/>
        <v>PMG - Digiekraanid - Tasku Keskus</v>
      </c>
      <c r="V383" s="40">
        <v>44562</v>
      </c>
      <c r="W383" s="31"/>
    </row>
    <row r="384" spans="1:23" ht="15" x14ac:dyDescent="0.25">
      <c r="A384" s="4" t="s">
        <v>13</v>
      </c>
      <c r="B384" s="4" t="s">
        <v>782</v>
      </c>
      <c r="C384" s="4"/>
      <c r="D384" s="4"/>
      <c r="E384" s="4" t="s">
        <v>611</v>
      </c>
      <c r="F384" s="4" t="s">
        <v>611</v>
      </c>
      <c r="G384" s="18" t="s">
        <v>919</v>
      </c>
      <c r="H384" s="18">
        <v>1</v>
      </c>
      <c r="I384" s="4" t="s">
        <v>960</v>
      </c>
      <c r="J384" s="4"/>
      <c r="K384" s="4"/>
      <c r="L384" s="4"/>
      <c r="M384" s="4"/>
      <c r="N384" s="25">
        <v>24.549911999999999</v>
      </c>
      <c r="O384" s="25">
        <v>58.370443999999999</v>
      </c>
      <c r="P384" s="4" t="s">
        <v>1007</v>
      </c>
      <c r="Q384" s="4" t="s">
        <v>782</v>
      </c>
      <c r="R384" s="4"/>
      <c r="S384" s="4"/>
      <c r="T384" s="4" t="str">
        <f t="shared" si="10"/>
        <v>PMG - Digiekraanid -  - Kaubamajakas LED - 1</v>
      </c>
      <c r="U384" s="4" t="str">
        <f t="shared" si="11"/>
        <v>PMG - Digiekraanid - Kaubamajakas LED</v>
      </c>
      <c r="V384" s="40">
        <v>44562</v>
      </c>
      <c r="W384" s="31"/>
    </row>
    <row r="385" spans="1:23" ht="15" x14ac:dyDescent="0.25">
      <c r="A385" s="4" t="s">
        <v>13</v>
      </c>
      <c r="B385" s="4" t="s">
        <v>782</v>
      </c>
      <c r="C385" s="4"/>
      <c r="D385" s="4"/>
      <c r="E385" s="4" t="s">
        <v>611</v>
      </c>
      <c r="F385" s="4" t="s">
        <v>611</v>
      </c>
      <c r="G385" s="18" t="s">
        <v>920</v>
      </c>
      <c r="H385" s="18">
        <v>1</v>
      </c>
      <c r="I385" s="4" t="s">
        <v>961</v>
      </c>
      <c r="J385" s="4"/>
      <c r="K385" s="4"/>
      <c r="L385" s="4"/>
      <c r="M385" s="4"/>
      <c r="N385" s="25">
        <v>24.502388</v>
      </c>
      <c r="O385" s="25">
        <v>58.387008000000002</v>
      </c>
      <c r="P385" s="4" t="s">
        <v>1008</v>
      </c>
      <c r="Q385" s="4" t="s">
        <v>782</v>
      </c>
      <c r="R385" s="4"/>
      <c r="S385" s="4"/>
      <c r="T385" s="4" t="str">
        <f t="shared" si="10"/>
        <v>PMG - Digiekraanid -  - Pärnu Keskus LED - 1</v>
      </c>
      <c r="U385" s="4" t="str">
        <f t="shared" si="11"/>
        <v>PMG - Digiekraanid - Pärnu Keskus LED</v>
      </c>
      <c r="V385" s="40">
        <v>44562</v>
      </c>
      <c r="W385" s="31"/>
    </row>
    <row r="386" spans="1:23" ht="15" x14ac:dyDescent="0.25">
      <c r="A386" s="4" t="s">
        <v>13</v>
      </c>
      <c r="B386" s="4" t="s">
        <v>782</v>
      </c>
      <c r="C386" s="4"/>
      <c r="D386" s="4"/>
      <c r="E386" s="4" t="s">
        <v>611</v>
      </c>
      <c r="F386" s="4" t="s">
        <v>611</v>
      </c>
      <c r="G386" s="18" t="s">
        <v>921</v>
      </c>
      <c r="H386" s="18">
        <v>1</v>
      </c>
      <c r="I386" s="4" t="s">
        <v>960</v>
      </c>
      <c r="J386" s="4"/>
      <c r="K386" s="4"/>
      <c r="L386" s="4"/>
      <c r="M386" s="4"/>
      <c r="N386" s="25">
        <v>24.553674999999998</v>
      </c>
      <c r="O386" s="25">
        <v>58.373989000000002</v>
      </c>
      <c r="P386" s="4" t="s">
        <v>1009</v>
      </c>
      <c r="Q386" s="4" t="s">
        <v>782</v>
      </c>
      <c r="R386" s="4"/>
      <c r="S386" s="4"/>
      <c r="T386" s="4" t="str">
        <f t="shared" si="10"/>
        <v>PMG - Digiekraanid -  - Silla LED - 1</v>
      </c>
      <c r="U386" s="4" t="str">
        <f t="shared" si="11"/>
        <v>PMG - Digiekraanid - Silla LED</v>
      </c>
      <c r="V386" s="40">
        <v>44562</v>
      </c>
      <c r="W386" s="31"/>
    </row>
    <row r="387" spans="1:23" ht="15" x14ac:dyDescent="0.25">
      <c r="A387" s="4" t="s">
        <v>13</v>
      </c>
      <c r="B387" s="4" t="s">
        <v>782</v>
      </c>
      <c r="C387" s="4"/>
      <c r="D387" s="4"/>
      <c r="E387" s="4" t="s">
        <v>611</v>
      </c>
      <c r="F387" s="4" t="s">
        <v>611</v>
      </c>
      <c r="G387" s="18" t="s">
        <v>922</v>
      </c>
      <c r="H387" s="18">
        <v>1</v>
      </c>
      <c r="I387" s="4" t="s">
        <v>961</v>
      </c>
      <c r="J387" s="4"/>
      <c r="K387" s="4"/>
      <c r="L387" s="4"/>
      <c r="M387" s="4"/>
      <c r="N387" s="25">
        <v>24.500745999999999</v>
      </c>
      <c r="O387" s="25">
        <v>58.386896</v>
      </c>
      <c r="P387" s="4" t="s">
        <v>1010</v>
      </c>
      <c r="Q387" s="4" t="s">
        <v>782</v>
      </c>
      <c r="R387" s="4"/>
      <c r="S387" s="4"/>
      <c r="T387" s="4" t="str">
        <f t="shared" ref="T387:T402" si="12">CONCATENATE(A387," - ",B387," - ",C387," - ",G387," - ",H387)</f>
        <v>PMG - Digiekraanid -  - Pärnu Keskus - 1</v>
      </c>
      <c r="U387" s="4" t="str">
        <f t="shared" ref="U387:U402" si="13">CONCATENATE(A387," - ",B387," - ",G387,)</f>
        <v>PMG - Digiekraanid - Pärnu Keskus</v>
      </c>
      <c r="V387" s="40">
        <v>44562</v>
      </c>
      <c r="W387" s="31"/>
    </row>
    <row r="388" spans="1:23" ht="15" x14ac:dyDescent="0.25">
      <c r="A388" s="4" t="s">
        <v>13</v>
      </c>
      <c r="B388" s="4" t="s">
        <v>782</v>
      </c>
      <c r="C388" s="4"/>
      <c r="D388" s="4"/>
      <c r="E388" s="4" t="s">
        <v>611</v>
      </c>
      <c r="F388" s="4" t="s">
        <v>611</v>
      </c>
      <c r="G388" s="18" t="s">
        <v>923</v>
      </c>
      <c r="H388" s="18">
        <v>1</v>
      </c>
      <c r="I388" s="4" t="s">
        <v>962</v>
      </c>
      <c r="J388" s="4"/>
      <c r="K388" s="4"/>
      <c r="L388" s="4"/>
      <c r="M388" s="4"/>
      <c r="N388" s="25">
        <v>24.536850999999999</v>
      </c>
      <c r="O388" s="25">
        <v>58.374619000000003</v>
      </c>
      <c r="P388" s="4" t="s">
        <v>1011</v>
      </c>
      <c r="Q388" s="4" t="s">
        <v>782</v>
      </c>
      <c r="R388" s="4"/>
      <c r="S388" s="4"/>
      <c r="T388" s="4" t="str">
        <f t="shared" si="12"/>
        <v>PMG - Digiekraanid -  - XXX Maxima - 1</v>
      </c>
      <c r="U388" s="4" t="str">
        <f t="shared" si="13"/>
        <v>PMG - Digiekraanid - XXX Maxima</v>
      </c>
      <c r="V388" s="40">
        <v>44562</v>
      </c>
      <c r="W388" s="31"/>
    </row>
    <row r="389" spans="1:23" ht="15" x14ac:dyDescent="0.25">
      <c r="A389" s="4" t="s">
        <v>13</v>
      </c>
      <c r="B389" s="4" t="s">
        <v>782</v>
      </c>
      <c r="C389" s="4"/>
      <c r="D389" s="4"/>
      <c r="E389" s="4" t="s">
        <v>614</v>
      </c>
      <c r="F389" s="4" t="s">
        <v>614</v>
      </c>
      <c r="G389" s="18" t="s">
        <v>924</v>
      </c>
      <c r="H389" s="18">
        <v>1</v>
      </c>
      <c r="I389" s="4" t="s">
        <v>963</v>
      </c>
      <c r="J389" s="4"/>
      <c r="K389" s="4"/>
      <c r="L389" s="4"/>
      <c r="M389" s="4"/>
      <c r="N389" s="25">
        <v>28.174827000000001</v>
      </c>
      <c r="O389" s="25">
        <v>59.380870999999999</v>
      </c>
      <c r="P389" s="4" t="s">
        <v>1012</v>
      </c>
      <c r="Q389" s="4" t="s">
        <v>782</v>
      </c>
      <c r="R389" s="4"/>
      <c r="S389" s="4"/>
      <c r="T389" s="4" t="str">
        <f t="shared" si="12"/>
        <v>PMG - Digiekraanid -  - Astri Keskus LED - 1</v>
      </c>
      <c r="U389" s="4" t="str">
        <f t="shared" si="13"/>
        <v>PMG - Digiekraanid - Astri Keskus LED</v>
      </c>
      <c r="V389" s="40">
        <v>44562</v>
      </c>
      <c r="W389" s="31"/>
    </row>
    <row r="390" spans="1:23" ht="15" x14ac:dyDescent="0.25">
      <c r="A390" s="4" t="s">
        <v>13</v>
      </c>
      <c r="B390" s="4" t="s">
        <v>782</v>
      </c>
      <c r="C390" s="4"/>
      <c r="D390" s="4"/>
      <c r="E390" s="4" t="s">
        <v>614</v>
      </c>
      <c r="F390" s="4" t="s">
        <v>614</v>
      </c>
      <c r="G390" s="18" t="s">
        <v>925</v>
      </c>
      <c r="H390" s="18">
        <v>1</v>
      </c>
      <c r="I390" s="4" t="s">
        <v>964</v>
      </c>
      <c r="J390" s="4"/>
      <c r="K390" s="4"/>
      <c r="L390" s="4"/>
      <c r="M390" s="4"/>
      <c r="N390" s="25">
        <v>28.187270000000002</v>
      </c>
      <c r="O390" s="25">
        <v>59.379351999999997</v>
      </c>
      <c r="P390" s="4" t="s">
        <v>1013</v>
      </c>
      <c r="Q390" s="4" t="s">
        <v>782</v>
      </c>
      <c r="R390" s="4"/>
      <c r="S390" s="4"/>
      <c r="T390" s="4" t="str">
        <f t="shared" si="12"/>
        <v>PMG - Digiekraanid -  - Fama Keskus LED - 1</v>
      </c>
      <c r="U390" s="4" t="str">
        <f t="shared" si="13"/>
        <v>PMG - Digiekraanid - Fama Keskus LED</v>
      </c>
      <c r="V390" s="40">
        <v>44562</v>
      </c>
      <c r="W390" s="31"/>
    </row>
    <row r="391" spans="1:23" ht="15" x14ac:dyDescent="0.25">
      <c r="A391" s="4" t="s">
        <v>13</v>
      </c>
      <c r="B391" s="4" t="s">
        <v>782</v>
      </c>
      <c r="C391" s="4"/>
      <c r="D391" s="4"/>
      <c r="E391" s="4" t="s">
        <v>614</v>
      </c>
      <c r="F391" s="4" t="s">
        <v>614</v>
      </c>
      <c r="G391" s="18" t="s">
        <v>926</v>
      </c>
      <c r="H391" s="18">
        <v>1</v>
      </c>
      <c r="I391" s="4" t="s">
        <v>963</v>
      </c>
      <c r="J391" s="4"/>
      <c r="K391" s="4"/>
      <c r="L391" s="4"/>
      <c r="M391" s="4"/>
      <c r="N391" s="25">
        <v>28.175073000000001</v>
      </c>
      <c r="O391" s="25">
        <v>59.380929000000002</v>
      </c>
      <c r="P391" s="4" t="s">
        <v>1014</v>
      </c>
      <c r="Q391" s="4" t="s">
        <v>782</v>
      </c>
      <c r="R391" s="4"/>
      <c r="S391" s="4"/>
      <c r="T391" s="4" t="str">
        <f t="shared" si="12"/>
        <v>PMG - Digiekraanid -  - Astri Keskus - 1</v>
      </c>
      <c r="U391" s="4" t="str">
        <f t="shared" si="13"/>
        <v>PMG - Digiekraanid - Astri Keskus</v>
      </c>
      <c r="V391" s="40">
        <v>44562</v>
      </c>
      <c r="W391" s="31"/>
    </row>
    <row r="392" spans="1:23" ht="15" x14ac:dyDescent="0.25">
      <c r="A392" s="4" t="s">
        <v>13</v>
      </c>
      <c r="B392" s="4" t="s">
        <v>782</v>
      </c>
      <c r="C392" s="4"/>
      <c r="D392" s="4"/>
      <c r="E392" s="4" t="s">
        <v>614</v>
      </c>
      <c r="F392" s="4" t="s">
        <v>614</v>
      </c>
      <c r="G392" s="18" t="s">
        <v>927</v>
      </c>
      <c r="H392" s="18">
        <v>1</v>
      </c>
      <c r="I392" s="4" t="s">
        <v>964</v>
      </c>
      <c r="J392" s="4"/>
      <c r="K392" s="4"/>
      <c r="L392" s="4"/>
      <c r="M392" s="4"/>
      <c r="N392" s="25">
        <v>28.187214999999998</v>
      </c>
      <c r="O392" s="25">
        <v>59.379640000000002</v>
      </c>
      <c r="P392" s="4" t="s">
        <v>1015</v>
      </c>
      <c r="Q392" s="4" t="s">
        <v>782</v>
      </c>
      <c r="R392" s="4"/>
      <c r="S392" s="4"/>
      <c r="T392" s="4" t="str">
        <f t="shared" si="12"/>
        <v>PMG - Digiekraanid -  - Fama Keskus - 1</v>
      </c>
      <c r="U392" s="4" t="str">
        <f t="shared" si="13"/>
        <v>PMG - Digiekraanid - Fama Keskus</v>
      </c>
      <c r="V392" s="40">
        <v>44562</v>
      </c>
      <c r="W392" s="31"/>
    </row>
    <row r="393" spans="1:23" ht="15" x14ac:dyDescent="0.25">
      <c r="A393" s="4" t="s">
        <v>13</v>
      </c>
      <c r="B393" s="4" t="s">
        <v>782</v>
      </c>
      <c r="C393" s="4"/>
      <c r="D393" s="4"/>
      <c r="E393" s="4" t="s">
        <v>1026</v>
      </c>
      <c r="F393" s="4" t="s">
        <v>1027</v>
      </c>
      <c r="G393" s="18" t="s">
        <v>928</v>
      </c>
      <c r="H393" s="18">
        <v>1</v>
      </c>
      <c r="I393" s="4" t="s">
        <v>965</v>
      </c>
      <c r="J393" s="4"/>
      <c r="K393" s="4"/>
      <c r="L393" s="4"/>
      <c r="M393" s="4"/>
      <c r="N393" s="25">
        <v>22.514381</v>
      </c>
      <c r="O393" s="25">
        <v>58.265889000000001</v>
      </c>
      <c r="P393" s="4" t="s">
        <v>1016</v>
      </c>
      <c r="Q393" s="4" t="s">
        <v>782</v>
      </c>
      <c r="R393" s="4"/>
      <c r="S393" s="4"/>
      <c r="T393" s="4" t="str">
        <f t="shared" si="12"/>
        <v>PMG - Digiekraanid -  - Auriga LED - 1</v>
      </c>
      <c r="U393" s="4" t="str">
        <f t="shared" si="13"/>
        <v>PMG - Digiekraanid - Auriga LED</v>
      </c>
      <c r="V393" s="40">
        <v>44562</v>
      </c>
      <c r="W393" s="31"/>
    </row>
    <row r="394" spans="1:23" ht="15" x14ac:dyDescent="0.25">
      <c r="A394" s="4" t="s">
        <v>13</v>
      </c>
      <c r="B394" s="4" t="s">
        <v>782</v>
      </c>
      <c r="C394" s="4"/>
      <c r="D394" s="4"/>
      <c r="E394" s="4" t="s">
        <v>1028</v>
      </c>
      <c r="F394" s="4" t="s">
        <v>1028</v>
      </c>
      <c r="G394" s="18" t="s">
        <v>929</v>
      </c>
      <c r="H394" s="18">
        <v>1</v>
      </c>
      <c r="I394" s="4" t="s">
        <v>966</v>
      </c>
      <c r="J394" s="4"/>
      <c r="K394" s="4"/>
      <c r="L394" s="4"/>
      <c r="M394" s="4"/>
      <c r="N394" s="25">
        <v>27.414114999999999</v>
      </c>
      <c r="O394" s="25">
        <v>59.358156000000001</v>
      </c>
      <c r="P394" s="4" t="s">
        <v>1017</v>
      </c>
      <c r="Q394" s="4" t="s">
        <v>782</v>
      </c>
      <c r="R394" s="4"/>
      <c r="S394" s="4"/>
      <c r="T394" s="4" t="str">
        <f t="shared" si="12"/>
        <v>PMG - Digiekraanid -  - Tsentraal - 1</v>
      </c>
      <c r="U394" s="4" t="str">
        <f t="shared" si="13"/>
        <v>PMG - Digiekraanid - Tsentraal</v>
      </c>
      <c r="V394" s="40">
        <v>44562</v>
      </c>
      <c r="W394" s="31"/>
    </row>
    <row r="395" spans="1:23" ht="15" x14ac:dyDescent="0.25">
      <c r="A395" s="4" t="s">
        <v>13</v>
      </c>
      <c r="B395" s="4" t="s">
        <v>782</v>
      </c>
      <c r="C395" s="4"/>
      <c r="D395" s="4"/>
      <c r="E395" s="4" t="s">
        <v>1029</v>
      </c>
      <c r="F395" s="4" t="s">
        <v>1029</v>
      </c>
      <c r="G395" s="18" t="s">
        <v>930</v>
      </c>
      <c r="H395" s="18">
        <v>1</v>
      </c>
      <c r="I395" s="4" t="s">
        <v>967</v>
      </c>
      <c r="J395" s="4"/>
      <c r="K395" s="4"/>
      <c r="L395" s="4"/>
      <c r="M395" s="4"/>
      <c r="N395" s="24"/>
      <c r="O395" s="24"/>
      <c r="P395" s="4" t="s">
        <v>1018</v>
      </c>
      <c r="Q395" s="4" t="s">
        <v>782</v>
      </c>
      <c r="R395" s="4"/>
      <c r="S395" s="4"/>
      <c r="T395" s="4" t="str">
        <f t="shared" si="12"/>
        <v>PMG - Digiekraanid -  - Viljandi Centrumi LED - 1</v>
      </c>
      <c r="U395" s="4" t="str">
        <f t="shared" si="13"/>
        <v>PMG - Digiekraanid - Viljandi Centrumi LED</v>
      </c>
      <c r="V395" s="40">
        <v>44562</v>
      </c>
      <c r="W395" s="31"/>
    </row>
    <row r="396" spans="1:23" ht="15" x14ac:dyDescent="0.25">
      <c r="A396" s="4" t="s">
        <v>13</v>
      </c>
      <c r="B396" s="4" t="s">
        <v>782</v>
      </c>
      <c r="C396" s="4"/>
      <c r="D396" s="4"/>
      <c r="E396" s="4" t="s">
        <v>1029</v>
      </c>
      <c r="F396" s="4" t="s">
        <v>1029</v>
      </c>
      <c r="G396" s="18" t="s">
        <v>931</v>
      </c>
      <c r="H396" s="18">
        <v>1</v>
      </c>
      <c r="I396" s="4" t="s">
        <v>968</v>
      </c>
      <c r="J396" s="4"/>
      <c r="K396" s="4"/>
      <c r="L396" s="4"/>
      <c r="M396" s="4"/>
      <c r="N396" s="25">
        <v>25.596658999999999</v>
      </c>
      <c r="O396" s="25">
        <v>58.369655999999999</v>
      </c>
      <c r="P396" s="4" t="s">
        <v>1019</v>
      </c>
      <c r="Q396" s="4" t="s">
        <v>782</v>
      </c>
      <c r="R396" s="4"/>
      <c r="S396" s="4"/>
      <c r="T396" s="4" t="str">
        <f t="shared" si="12"/>
        <v>PMG - Digiekraanid -  - Uku Keskus - 1</v>
      </c>
      <c r="U396" s="4" t="str">
        <f t="shared" si="13"/>
        <v>PMG - Digiekraanid - Uku Keskus</v>
      </c>
      <c r="V396" s="40">
        <v>44562</v>
      </c>
      <c r="W396" s="31"/>
    </row>
    <row r="397" spans="1:23" ht="15" x14ac:dyDescent="0.25">
      <c r="A397" s="4" t="s">
        <v>13</v>
      </c>
      <c r="B397" s="4" t="s">
        <v>782</v>
      </c>
      <c r="C397" s="4"/>
      <c r="D397" s="4"/>
      <c r="E397" s="4" t="s">
        <v>1030</v>
      </c>
      <c r="F397" s="4" t="s">
        <v>1030</v>
      </c>
      <c r="G397" s="18" t="s">
        <v>932</v>
      </c>
      <c r="H397" s="18">
        <v>1</v>
      </c>
      <c r="I397" s="4" t="s">
        <v>969</v>
      </c>
      <c r="J397" s="4"/>
      <c r="K397" s="4"/>
      <c r="L397" s="4"/>
      <c r="M397" s="4"/>
      <c r="N397" s="25">
        <v>26.339807</v>
      </c>
      <c r="O397" s="25">
        <v>59.364191099999999</v>
      </c>
      <c r="P397" s="4" t="s">
        <v>1020</v>
      </c>
      <c r="Q397" s="4" t="s">
        <v>782</v>
      </c>
      <c r="R397" s="4"/>
      <c r="S397" s="4"/>
      <c r="T397" s="4" t="str">
        <f t="shared" si="12"/>
        <v>PMG - Digiekraanid -  - Põhjakeskus - 1</v>
      </c>
      <c r="U397" s="4" t="str">
        <f t="shared" si="13"/>
        <v>PMG - Digiekraanid - Põhjakeskus</v>
      </c>
      <c r="V397" s="40">
        <v>44562</v>
      </c>
      <c r="W397" s="31"/>
    </row>
    <row r="398" spans="1:23" ht="15" x14ac:dyDescent="0.25">
      <c r="A398" s="4" t="s">
        <v>13</v>
      </c>
      <c r="B398" s="4" t="s">
        <v>782</v>
      </c>
      <c r="C398" s="4"/>
      <c r="D398" s="4"/>
      <c r="E398" s="4" t="s">
        <v>1030</v>
      </c>
      <c r="F398" s="4" t="s">
        <v>1030</v>
      </c>
      <c r="G398" s="18" t="s">
        <v>933</v>
      </c>
      <c r="H398" s="18">
        <v>1</v>
      </c>
      <c r="I398" s="4" t="s">
        <v>970</v>
      </c>
      <c r="J398" s="4"/>
      <c r="K398" s="4"/>
      <c r="L398" s="4"/>
      <c r="M398" s="4"/>
      <c r="N398" s="24"/>
      <c r="O398" s="24"/>
      <c r="P398" s="4" t="s">
        <v>1021</v>
      </c>
      <c r="Q398" s="4" t="s">
        <v>782</v>
      </c>
      <c r="R398" s="4"/>
      <c r="S398" s="4"/>
      <c r="T398" s="4" t="str">
        <f t="shared" si="12"/>
        <v>PMG - Digiekraanid -  - Põhjakeskus LED - 1</v>
      </c>
      <c r="U398" s="4" t="str">
        <f t="shared" si="13"/>
        <v>PMG - Digiekraanid - Põhjakeskus LED</v>
      </c>
      <c r="V398" s="40">
        <v>44562</v>
      </c>
      <c r="W398" s="31"/>
    </row>
    <row r="399" spans="1:23" ht="15" x14ac:dyDescent="0.25">
      <c r="A399" s="4" t="s">
        <v>13</v>
      </c>
      <c r="B399" s="4" t="s">
        <v>782</v>
      </c>
      <c r="C399" s="4"/>
      <c r="D399" s="4"/>
      <c r="E399" s="4" t="s">
        <v>1031</v>
      </c>
      <c r="F399" s="4" t="s">
        <v>1031</v>
      </c>
      <c r="G399" s="18" t="s">
        <v>934</v>
      </c>
      <c r="H399" s="18">
        <v>1</v>
      </c>
      <c r="I399" s="4" t="s">
        <v>971</v>
      </c>
      <c r="J399" s="4"/>
      <c r="K399" s="4"/>
      <c r="L399" s="4"/>
      <c r="M399" s="4"/>
      <c r="N399" s="25">
        <v>23.546216999999999</v>
      </c>
      <c r="O399" s="25">
        <v>58.938764999999997</v>
      </c>
      <c r="P399" s="4" t="s">
        <v>1022</v>
      </c>
      <c r="Q399" s="4" t="s">
        <v>782</v>
      </c>
      <c r="R399" s="4"/>
      <c r="S399" s="4"/>
      <c r="T399" s="4" t="str">
        <f t="shared" si="12"/>
        <v>PMG - Digiekraanid -  - Haapsalu Niine LED - 1</v>
      </c>
      <c r="U399" s="4" t="str">
        <f t="shared" si="13"/>
        <v>PMG - Digiekraanid - Haapsalu Niine LED</v>
      </c>
      <c r="V399" s="40">
        <v>44562</v>
      </c>
      <c r="W399" s="31"/>
    </row>
    <row r="400" spans="1:23" ht="15" x14ac:dyDescent="0.25">
      <c r="A400" s="4" t="s">
        <v>13</v>
      </c>
      <c r="B400" s="4" t="s">
        <v>782</v>
      </c>
      <c r="C400" s="4"/>
      <c r="D400" s="4"/>
      <c r="E400" s="4" t="s">
        <v>1031</v>
      </c>
      <c r="F400" s="4" t="s">
        <v>1031</v>
      </c>
      <c r="G400" s="18" t="s">
        <v>935</v>
      </c>
      <c r="H400" s="18">
        <v>1</v>
      </c>
      <c r="I400" s="4" t="s">
        <v>972</v>
      </c>
      <c r="J400" s="4"/>
      <c r="K400" s="4"/>
      <c r="L400" s="4"/>
      <c r="M400" s="4"/>
      <c r="N400" s="25">
        <v>23.571795999999999</v>
      </c>
      <c r="O400" s="25">
        <v>58.936121999999997</v>
      </c>
      <c r="P400" s="4" t="s">
        <v>1023</v>
      </c>
      <c r="Q400" s="4" t="s">
        <v>782</v>
      </c>
      <c r="R400" s="4"/>
      <c r="S400" s="4"/>
      <c r="T400" s="4" t="str">
        <f t="shared" si="12"/>
        <v>PMG - Digiekraanid -  - Rannarootsi Keskus - 1</v>
      </c>
      <c r="U400" s="4" t="str">
        <f t="shared" si="13"/>
        <v>PMG - Digiekraanid - Rannarootsi Keskus</v>
      </c>
      <c r="V400" s="40">
        <v>44562</v>
      </c>
      <c r="W400" s="31"/>
    </row>
    <row r="401" spans="1:23" ht="15" x14ac:dyDescent="0.25">
      <c r="A401" s="4" t="s">
        <v>13</v>
      </c>
      <c r="B401" s="4" t="s">
        <v>782</v>
      </c>
      <c r="C401" s="4"/>
      <c r="D401" s="4"/>
      <c r="E401" s="4" t="s">
        <v>1032</v>
      </c>
      <c r="F401" s="4" t="s">
        <v>1032</v>
      </c>
      <c r="G401" s="18" t="s">
        <v>936</v>
      </c>
      <c r="H401" s="18">
        <v>1</v>
      </c>
      <c r="I401" s="4" t="s">
        <v>973</v>
      </c>
      <c r="J401" s="4"/>
      <c r="K401" s="4"/>
      <c r="L401" s="4"/>
      <c r="M401" s="4"/>
      <c r="N401" s="25">
        <v>24.793382000000001</v>
      </c>
      <c r="O401" s="25">
        <v>59.009886000000002</v>
      </c>
      <c r="P401" s="4" t="s">
        <v>1024</v>
      </c>
      <c r="Q401" s="4" t="s">
        <v>782</v>
      </c>
      <c r="R401" s="4"/>
      <c r="S401" s="4"/>
      <c r="T401" s="4" t="str">
        <f t="shared" si="12"/>
        <v>PMG - Digiekraanid -  - Rappeli Keskus - 1</v>
      </c>
      <c r="U401" s="4" t="str">
        <f t="shared" si="13"/>
        <v>PMG - Digiekraanid - Rappeli Keskus</v>
      </c>
      <c r="V401" s="40">
        <v>44562</v>
      </c>
      <c r="W401" s="31"/>
    </row>
    <row r="402" spans="1:23" ht="15" x14ac:dyDescent="0.25">
      <c r="A402" s="4" t="s">
        <v>13</v>
      </c>
      <c r="B402" s="4" t="s">
        <v>782</v>
      </c>
      <c r="C402" s="4"/>
      <c r="D402" s="4"/>
      <c r="E402" s="4" t="s">
        <v>1033</v>
      </c>
      <c r="F402" s="4" t="s">
        <v>1033</v>
      </c>
      <c r="G402" s="18" t="s">
        <v>937</v>
      </c>
      <c r="H402" s="18">
        <v>1</v>
      </c>
      <c r="I402" s="4" t="s">
        <v>974</v>
      </c>
      <c r="J402" s="4"/>
      <c r="K402" s="4"/>
      <c r="L402" s="4"/>
      <c r="M402" s="4"/>
      <c r="N402" s="25">
        <v>27.285512000000001</v>
      </c>
      <c r="O402" s="25">
        <v>59.398015000000001</v>
      </c>
      <c r="P402" s="4" t="s">
        <v>1025</v>
      </c>
      <c r="Q402" s="4" t="s">
        <v>782</v>
      </c>
      <c r="R402" s="4"/>
      <c r="S402" s="4"/>
      <c r="T402" s="4" t="str">
        <f t="shared" si="12"/>
        <v>PMG - Digiekraanid -  - Vironia Kaubaduskeskus - 1</v>
      </c>
      <c r="U402" s="4" t="str">
        <f t="shared" si="13"/>
        <v>PMG - Digiekraanid - Vironia Kaubaduskeskus</v>
      </c>
      <c r="V402" s="40">
        <v>44562</v>
      </c>
      <c r="W402" s="31"/>
    </row>
  </sheetData>
  <hyperlinks>
    <hyperlink ref="P67" r:id="rId1" xr:uid="{DBAB102B-C7B3-4BF3-9B42-B944E29F7FD7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575-12A7-4C8A-8A5E-5582D648ED49}">
  <sheetPr>
    <tabColor rgb="FF92D050"/>
  </sheetPr>
  <dimension ref="A1:E402"/>
  <sheetViews>
    <sheetView tabSelected="1" zoomScale="70" zoomScaleNormal="70" workbookViewId="0">
      <selection activeCell="H7" sqref="H7"/>
    </sheetView>
  </sheetViews>
  <sheetFormatPr defaultRowHeight="15" x14ac:dyDescent="0.25"/>
  <cols>
    <col min="1" max="1" width="92.85546875" bestFit="1" customWidth="1"/>
    <col min="2" max="2" width="11" bestFit="1" customWidth="1"/>
    <col min="3" max="3" width="10.5703125" bestFit="1" customWidth="1"/>
    <col min="4" max="4" width="13.7109375" bestFit="1" customWidth="1"/>
    <col min="5" max="5" width="17.42578125" style="8" customWidth="1"/>
    <col min="6" max="6" width="12.85546875" bestFit="1" customWidth="1"/>
    <col min="7" max="7" width="12.140625" bestFit="1" customWidth="1"/>
  </cols>
  <sheetData>
    <row r="1" spans="1:5" x14ac:dyDescent="0.25">
      <c r="A1" s="30" t="s">
        <v>1054</v>
      </c>
      <c r="B1" s="30" t="s">
        <v>1457</v>
      </c>
      <c r="C1" s="30" t="s">
        <v>1458</v>
      </c>
      <c r="D1" s="30" t="s">
        <v>1034</v>
      </c>
      <c r="E1" s="39" t="s">
        <v>1465</v>
      </c>
    </row>
    <row r="2" spans="1:5" x14ac:dyDescent="0.25">
      <c r="A2" s="31" t="s">
        <v>1056</v>
      </c>
      <c r="B2" s="32">
        <v>44562</v>
      </c>
      <c r="C2" s="31"/>
      <c r="D2" s="31" t="s">
        <v>13</v>
      </c>
      <c r="E2" s="7">
        <v>529.29999999999995</v>
      </c>
    </row>
    <row r="3" spans="1:5" x14ac:dyDescent="0.25">
      <c r="A3" s="31" t="s">
        <v>1057</v>
      </c>
      <c r="B3" s="32">
        <v>44562</v>
      </c>
      <c r="C3" s="31"/>
      <c r="D3" s="31" t="s">
        <v>13</v>
      </c>
      <c r="E3" s="15">
        <v>529.29999999999995</v>
      </c>
    </row>
    <row r="4" spans="1:5" x14ac:dyDescent="0.25">
      <c r="A4" s="31" t="s">
        <v>1058</v>
      </c>
      <c r="B4" s="32">
        <v>44562</v>
      </c>
      <c r="C4" s="31"/>
      <c r="D4" s="31" t="s">
        <v>13</v>
      </c>
      <c r="E4" s="15">
        <v>529.29999999999995</v>
      </c>
    </row>
    <row r="5" spans="1:5" x14ac:dyDescent="0.25">
      <c r="A5" s="31" t="s">
        <v>1059</v>
      </c>
      <c r="B5" s="32">
        <v>44562</v>
      </c>
      <c r="C5" s="31"/>
      <c r="D5" s="31" t="s">
        <v>13</v>
      </c>
      <c r="E5" s="15">
        <v>529.29999999999995</v>
      </c>
    </row>
    <row r="6" spans="1:5" x14ac:dyDescent="0.25">
      <c r="A6" s="31" t="s">
        <v>1060</v>
      </c>
      <c r="B6" s="32">
        <v>44562</v>
      </c>
      <c r="C6" s="31"/>
      <c r="D6" s="31" t="s">
        <v>13</v>
      </c>
      <c r="E6" s="15">
        <v>529.29999999999995</v>
      </c>
    </row>
    <row r="7" spans="1:5" x14ac:dyDescent="0.25">
      <c r="A7" s="31" t="s">
        <v>1061</v>
      </c>
      <c r="B7" s="32">
        <v>44562</v>
      </c>
      <c r="C7" s="31"/>
      <c r="D7" s="31" t="s">
        <v>13</v>
      </c>
      <c r="E7" s="15">
        <v>449.3</v>
      </c>
    </row>
    <row r="8" spans="1:5" x14ac:dyDescent="0.25">
      <c r="A8" s="31" t="s">
        <v>1062</v>
      </c>
      <c r="B8" s="32">
        <v>44562</v>
      </c>
      <c r="C8" s="31"/>
      <c r="D8" s="31" t="s">
        <v>13</v>
      </c>
      <c r="E8" s="15">
        <v>349.3</v>
      </c>
    </row>
    <row r="9" spans="1:5" x14ac:dyDescent="0.25">
      <c r="A9" s="31" t="s">
        <v>1063</v>
      </c>
      <c r="B9" s="32">
        <v>44562</v>
      </c>
      <c r="C9" s="31"/>
      <c r="D9" s="31" t="s">
        <v>13</v>
      </c>
      <c r="E9" s="15">
        <v>329.3</v>
      </c>
    </row>
    <row r="10" spans="1:5" x14ac:dyDescent="0.25">
      <c r="A10" s="31" t="s">
        <v>1064</v>
      </c>
      <c r="B10" s="32">
        <v>44562</v>
      </c>
      <c r="C10" s="31"/>
      <c r="D10" s="31" t="s">
        <v>13</v>
      </c>
      <c r="E10" s="15">
        <v>329.3</v>
      </c>
    </row>
    <row r="11" spans="1:5" x14ac:dyDescent="0.25">
      <c r="A11" s="31" t="s">
        <v>1065</v>
      </c>
      <c r="B11" s="32">
        <v>44562</v>
      </c>
      <c r="C11" s="31"/>
      <c r="D11" s="31" t="s">
        <v>13</v>
      </c>
      <c r="E11" s="15">
        <v>369.3</v>
      </c>
    </row>
    <row r="12" spans="1:5" x14ac:dyDescent="0.25">
      <c r="A12" s="31" t="s">
        <v>1066</v>
      </c>
      <c r="B12" s="32">
        <v>44562</v>
      </c>
      <c r="C12" s="31"/>
      <c r="D12" s="31" t="s">
        <v>13</v>
      </c>
      <c r="E12" s="15">
        <v>369.3</v>
      </c>
    </row>
    <row r="13" spans="1:5" x14ac:dyDescent="0.25">
      <c r="A13" s="31" t="s">
        <v>1067</v>
      </c>
      <c r="B13" s="32">
        <v>44562</v>
      </c>
      <c r="C13" s="31"/>
      <c r="D13" s="31" t="s">
        <v>13</v>
      </c>
      <c r="E13" s="15">
        <v>409.3</v>
      </c>
    </row>
    <row r="14" spans="1:5" x14ac:dyDescent="0.25">
      <c r="A14" s="31" t="s">
        <v>1068</v>
      </c>
      <c r="B14" s="32">
        <v>44562</v>
      </c>
      <c r="C14" s="31"/>
      <c r="D14" s="31" t="s">
        <v>13</v>
      </c>
      <c r="E14" s="15">
        <v>449.3</v>
      </c>
    </row>
    <row r="15" spans="1:5" x14ac:dyDescent="0.25">
      <c r="A15" s="31" t="s">
        <v>1069</v>
      </c>
      <c r="B15" s="32">
        <v>44562</v>
      </c>
      <c r="C15" s="31"/>
      <c r="D15" s="31" t="s">
        <v>13</v>
      </c>
      <c r="E15" s="15">
        <v>449.3</v>
      </c>
    </row>
    <row r="16" spans="1:5" x14ac:dyDescent="0.25">
      <c r="A16" s="31" t="s">
        <v>1070</v>
      </c>
      <c r="B16" s="32">
        <v>44562</v>
      </c>
      <c r="C16" s="31"/>
      <c r="D16" s="31" t="s">
        <v>13</v>
      </c>
      <c r="E16" s="15">
        <v>449.3</v>
      </c>
    </row>
    <row r="17" spans="1:5" x14ac:dyDescent="0.25">
      <c r="A17" s="31" t="s">
        <v>1071</v>
      </c>
      <c r="B17" s="32">
        <v>44562</v>
      </c>
      <c r="C17" s="31"/>
      <c r="D17" s="31" t="s">
        <v>13</v>
      </c>
      <c r="E17" s="15">
        <v>449.3</v>
      </c>
    </row>
    <row r="18" spans="1:5" x14ac:dyDescent="0.25">
      <c r="A18" s="31" t="s">
        <v>1072</v>
      </c>
      <c r="B18" s="32">
        <v>44562</v>
      </c>
      <c r="C18" s="31"/>
      <c r="D18" s="31" t="s">
        <v>13</v>
      </c>
      <c r="E18" s="15">
        <v>449.3</v>
      </c>
    </row>
    <row r="19" spans="1:5" x14ac:dyDescent="0.25">
      <c r="A19" s="31" t="s">
        <v>1073</v>
      </c>
      <c r="B19" s="32">
        <v>44562</v>
      </c>
      <c r="C19" s="31"/>
      <c r="D19" s="31" t="s">
        <v>13</v>
      </c>
      <c r="E19" s="15">
        <v>449.3</v>
      </c>
    </row>
    <row r="20" spans="1:5" x14ac:dyDescent="0.25">
      <c r="A20" s="31" t="s">
        <v>1074</v>
      </c>
      <c r="B20" s="32">
        <v>44562</v>
      </c>
      <c r="C20" s="31"/>
      <c r="D20" s="31" t="s">
        <v>13</v>
      </c>
      <c r="E20" s="15">
        <v>449.3</v>
      </c>
    </row>
    <row r="21" spans="1:5" x14ac:dyDescent="0.25">
      <c r="A21" s="31" t="s">
        <v>1075</v>
      </c>
      <c r="B21" s="32">
        <v>44562</v>
      </c>
      <c r="C21" s="31"/>
      <c r="D21" s="31" t="s">
        <v>13</v>
      </c>
      <c r="E21" s="15">
        <v>449.3</v>
      </c>
    </row>
    <row r="22" spans="1:5" x14ac:dyDescent="0.25">
      <c r="A22" s="31" t="s">
        <v>1076</v>
      </c>
      <c r="B22" s="32">
        <v>44562</v>
      </c>
      <c r="C22" s="31"/>
      <c r="D22" s="31" t="s">
        <v>13</v>
      </c>
      <c r="E22" s="15">
        <v>449.3</v>
      </c>
    </row>
    <row r="23" spans="1:5" x14ac:dyDescent="0.25">
      <c r="A23" s="31" t="s">
        <v>1077</v>
      </c>
      <c r="B23" s="32">
        <v>44562</v>
      </c>
      <c r="C23" s="31"/>
      <c r="D23" s="31" t="s">
        <v>13</v>
      </c>
      <c r="E23" s="15">
        <v>449.3</v>
      </c>
    </row>
    <row r="24" spans="1:5" x14ac:dyDescent="0.25">
      <c r="A24" s="31" t="s">
        <v>1078</v>
      </c>
      <c r="B24" s="32">
        <v>44562</v>
      </c>
      <c r="C24" s="31"/>
      <c r="D24" s="31" t="s">
        <v>13</v>
      </c>
      <c r="E24" s="15">
        <v>449.3</v>
      </c>
    </row>
    <row r="25" spans="1:5" x14ac:dyDescent="0.25">
      <c r="A25" s="31" t="s">
        <v>1079</v>
      </c>
      <c r="B25" s="32">
        <v>44562</v>
      </c>
      <c r="C25" s="31"/>
      <c r="D25" s="31" t="s">
        <v>13</v>
      </c>
      <c r="E25" s="15">
        <v>449.3</v>
      </c>
    </row>
    <row r="26" spans="1:5" x14ac:dyDescent="0.25">
      <c r="A26" s="31" t="s">
        <v>1080</v>
      </c>
      <c r="B26" s="32">
        <v>44562</v>
      </c>
      <c r="C26" s="31"/>
      <c r="D26" s="31" t="s">
        <v>13</v>
      </c>
      <c r="E26" s="15">
        <v>449.3</v>
      </c>
    </row>
    <row r="27" spans="1:5" x14ac:dyDescent="0.25">
      <c r="A27" s="31" t="s">
        <v>1081</v>
      </c>
      <c r="B27" s="32">
        <v>44562</v>
      </c>
      <c r="C27" s="31"/>
      <c r="D27" s="31" t="s">
        <v>13</v>
      </c>
      <c r="E27" s="15">
        <v>449.3</v>
      </c>
    </row>
    <row r="28" spans="1:5" x14ac:dyDescent="0.25">
      <c r="A28" s="31" t="s">
        <v>1082</v>
      </c>
      <c r="B28" s="32">
        <v>44562</v>
      </c>
      <c r="C28" s="31"/>
      <c r="D28" s="31" t="s">
        <v>13</v>
      </c>
      <c r="E28" s="15">
        <v>449.3</v>
      </c>
    </row>
    <row r="29" spans="1:5" x14ac:dyDescent="0.25">
      <c r="A29" s="31" t="s">
        <v>1083</v>
      </c>
      <c r="B29" s="32">
        <v>44562</v>
      </c>
      <c r="C29" s="31"/>
      <c r="D29" s="31" t="s">
        <v>13</v>
      </c>
      <c r="E29" s="15">
        <v>449.3</v>
      </c>
    </row>
    <row r="30" spans="1:5" x14ac:dyDescent="0.25">
      <c r="A30" s="31" t="s">
        <v>1084</v>
      </c>
      <c r="B30" s="32">
        <v>44562</v>
      </c>
      <c r="C30" s="31"/>
      <c r="D30" s="31" t="s">
        <v>13</v>
      </c>
      <c r="E30" s="15">
        <v>429.3</v>
      </c>
    </row>
    <row r="31" spans="1:5" x14ac:dyDescent="0.25">
      <c r="A31" s="31" t="s">
        <v>1085</v>
      </c>
      <c r="B31" s="32">
        <v>44562</v>
      </c>
      <c r="C31" s="31"/>
      <c r="D31" s="31" t="s">
        <v>13</v>
      </c>
      <c r="E31" s="15">
        <v>369.3</v>
      </c>
    </row>
    <row r="32" spans="1:5" x14ac:dyDescent="0.25">
      <c r="A32" s="31" t="s">
        <v>1086</v>
      </c>
      <c r="B32" s="32">
        <v>44562</v>
      </c>
      <c r="C32" s="31"/>
      <c r="D32" s="31" t="s">
        <v>13</v>
      </c>
      <c r="E32" s="15">
        <v>309.3</v>
      </c>
    </row>
    <row r="33" spans="1:5" x14ac:dyDescent="0.25">
      <c r="A33" s="31" t="s">
        <v>1087</v>
      </c>
      <c r="B33" s="32">
        <v>44562</v>
      </c>
      <c r="C33" s="31"/>
      <c r="D33" s="31" t="s">
        <v>13</v>
      </c>
      <c r="E33" s="15">
        <v>329.3</v>
      </c>
    </row>
    <row r="34" spans="1:5" x14ac:dyDescent="0.25">
      <c r="A34" s="31" t="s">
        <v>1088</v>
      </c>
      <c r="B34" s="32">
        <v>44562</v>
      </c>
      <c r="C34" s="31"/>
      <c r="D34" s="31" t="s">
        <v>13</v>
      </c>
      <c r="E34" s="15">
        <v>309.3</v>
      </c>
    </row>
    <row r="35" spans="1:5" x14ac:dyDescent="0.25">
      <c r="A35" s="31" t="s">
        <v>1089</v>
      </c>
      <c r="B35" s="32">
        <v>44562</v>
      </c>
      <c r="C35" s="31"/>
      <c r="D35" s="31" t="s">
        <v>13</v>
      </c>
      <c r="E35" s="15">
        <v>329.3</v>
      </c>
    </row>
    <row r="36" spans="1:5" x14ac:dyDescent="0.25">
      <c r="A36" s="31" t="s">
        <v>1090</v>
      </c>
      <c r="B36" s="32">
        <v>44562</v>
      </c>
      <c r="C36" s="31"/>
      <c r="D36" s="31" t="s">
        <v>13</v>
      </c>
      <c r="E36" s="15">
        <v>309.3</v>
      </c>
    </row>
    <row r="37" spans="1:5" x14ac:dyDescent="0.25">
      <c r="A37" s="31" t="s">
        <v>1091</v>
      </c>
      <c r="B37" s="32">
        <v>44562</v>
      </c>
      <c r="C37" s="31"/>
      <c r="D37" s="31" t="s">
        <v>13</v>
      </c>
      <c r="E37" s="15">
        <v>409.3</v>
      </c>
    </row>
    <row r="38" spans="1:5" x14ac:dyDescent="0.25">
      <c r="A38" s="31" t="s">
        <v>1092</v>
      </c>
      <c r="B38" s="32">
        <v>44562</v>
      </c>
      <c r="C38" s="31"/>
      <c r="D38" s="31" t="s">
        <v>13</v>
      </c>
      <c r="E38" s="15">
        <v>409.3</v>
      </c>
    </row>
    <row r="39" spans="1:5" x14ac:dyDescent="0.25">
      <c r="A39" s="31" t="s">
        <v>1093</v>
      </c>
      <c r="B39" s="32">
        <v>44562</v>
      </c>
      <c r="C39" s="31"/>
      <c r="D39" s="31" t="s">
        <v>13</v>
      </c>
      <c r="E39" s="15">
        <v>409.3</v>
      </c>
    </row>
    <row r="40" spans="1:5" x14ac:dyDescent="0.25">
      <c r="A40" s="31" t="s">
        <v>1094</v>
      </c>
      <c r="B40" s="32">
        <v>44562</v>
      </c>
      <c r="C40" s="31"/>
      <c r="D40" s="31" t="s">
        <v>13</v>
      </c>
      <c r="E40" s="15">
        <v>409.3</v>
      </c>
    </row>
    <row r="41" spans="1:5" x14ac:dyDescent="0.25">
      <c r="A41" s="31" t="s">
        <v>1095</v>
      </c>
      <c r="B41" s="32">
        <v>44562</v>
      </c>
      <c r="C41" s="31"/>
      <c r="D41" s="31" t="s">
        <v>13</v>
      </c>
      <c r="E41" s="15">
        <v>409.3</v>
      </c>
    </row>
    <row r="42" spans="1:5" x14ac:dyDescent="0.25">
      <c r="A42" s="31" t="s">
        <v>1096</v>
      </c>
      <c r="B42" s="32">
        <v>44562</v>
      </c>
      <c r="C42" s="31"/>
      <c r="D42" s="31" t="s">
        <v>13</v>
      </c>
      <c r="E42" s="15">
        <v>409.3</v>
      </c>
    </row>
    <row r="43" spans="1:5" x14ac:dyDescent="0.25">
      <c r="A43" s="31" t="s">
        <v>1097</v>
      </c>
      <c r="B43" s="32">
        <v>44562</v>
      </c>
      <c r="C43" s="31"/>
      <c r="D43" s="31" t="s">
        <v>13</v>
      </c>
      <c r="E43" s="15">
        <v>409.3</v>
      </c>
    </row>
    <row r="44" spans="1:5" x14ac:dyDescent="0.25">
      <c r="A44" s="31" t="s">
        <v>1098</v>
      </c>
      <c r="B44" s="32">
        <v>44562</v>
      </c>
      <c r="C44" s="31"/>
      <c r="D44" s="31" t="s">
        <v>13</v>
      </c>
      <c r="E44" s="15">
        <v>409.3</v>
      </c>
    </row>
    <row r="45" spans="1:5" x14ac:dyDescent="0.25">
      <c r="A45" s="31" t="s">
        <v>1099</v>
      </c>
      <c r="B45" s="32">
        <v>44562</v>
      </c>
      <c r="C45" s="31"/>
      <c r="D45" s="31" t="s">
        <v>13</v>
      </c>
      <c r="E45" s="15">
        <v>409.3</v>
      </c>
    </row>
    <row r="46" spans="1:5" x14ac:dyDescent="0.25">
      <c r="A46" s="31" t="s">
        <v>1100</v>
      </c>
      <c r="B46" s="32">
        <v>44562</v>
      </c>
      <c r="C46" s="31"/>
      <c r="D46" s="31" t="s">
        <v>13</v>
      </c>
      <c r="E46" s="15">
        <v>369.3</v>
      </c>
    </row>
    <row r="47" spans="1:5" x14ac:dyDescent="0.25">
      <c r="A47" s="31" t="s">
        <v>1101</v>
      </c>
      <c r="B47" s="32">
        <v>44562</v>
      </c>
      <c r="C47" s="31"/>
      <c r="D47" s="31" t="s">
        <v>13</v>
      </c>
      <c r="E47" s="15">
        <v>309.3</v>
      </c>
    </row>
    <row r="48" spans="1:5" x14ac:dyDescent="0.25">
      <c r="A48" s="31" t="s">
        <v>1102</v>
      </c>
      <c r="B48" s="32">
        <v>44562</v>
      </c>
      <c r="C48" s="31"/>
      <c r="D48" s="31" t="s">
        <v>13</v>
      </c>
      <c r="E48" s="15">
        <v>349.3</v>
      </c>
    </row>
    <row r="49" spans="1:5" x14ac:dyDescent="0.25">
      <c r="A49" s="31" t="s">
        <v>1103</v>
      </c>
      <c r="B49" s="32">
        <v>44562</v>
      </c>
      <c r="C49" s="31"/>
      <c r="D49" s="31" t="s">
        <v>13</v>
      </c>
      <c r="E49" s="15">
        <v>309.3</v>
      </c>
    </row>
    <row r="50" spans="1:5" x14ac:dyDescent="0.25">
      <c r="A50" s="31" t="s">
        <v>1104</v>
      </c>
      <c r="B50" s="32">
        <v>44562</v>
      </c>
      <c r="C50" s="31"/>
      <c r="D50" s="31" t="s">
        <v>13</v>
      </c>
      <c r="E50" s="15">
        <v>369.3</v>
      </c>
    </row>
    <row r="51" spans="1:5" x14ac:dyDescent="0.25">
      <c r="A51" s="31" t="s">
        <v>1105</v>
      </c>
      <c r="B51" s="32">
        <v>44562</v>
      </c>
      <c r="C51" s="31"/>
      <c r="D51" s="31" t="s">
        <v>13</v>
      </c>
      <c r="E51" s="15">
        <v>369.3</v>
      </c>
    </row>
    <row r="52" spans="1:5" x14ac:dyDescent="0.25">
      <c r="A52" s="31" t="s">
        <v>1106</v>
      </c>
      <c r="B52" s="32">
        <v>44562</v>
      </c>
      <c r="C52" s="31"/>
      <c r="D52" s="31" t="s">
        <v>13</v>
      </c>
      <c r="E52" s="15">
        <v>309.3</v>
      </c>
    </row>
    <row r="53" spans="1:5" x14ac:dyDescent="0.25">
      <c r="A53" s="31" t="s">
        <v>1107</v>
      </c>
      <c r="B53" s="32">
        <v>44562</v>
      </c>
      <c r="C53" s="31"/>
      <c r="D53" s="31" t="s">
        <v>13</v>
      </c>
      <c r="E53" s="15">
        <v>309.3</v>
      </c>
    </row>
    <row r="54" spans="1:5" x14ac:dyDescent="0.25">
      <c r="A54" s="31" t="s">
        <v>1108</v>
      </c>
      <c r="B54" s="32">
        <v>44562</v>
      </c>
      <c r="C54" s="31"/>
      <c r="D54" s="31" t="s">
        <v>13</v>
      </c>
      <c r="E54" s="15">
        <v>409.3</v>
      </c>
    </row>
    <row r="55" spans="1:5" x14ac:dyDescent="0.25">
      <c r="A55" s="31" t="s">
        <v>1109</v>
      </c>
      <c r="B55" s="32">
        <v>44562</v>
      </c>
      <c r="C55" s="31"/>
      <c r="D55" s="31" t="s">
        <v>13</v>
      </c>
      <c r="E55" s="15">
        <v>309.3</v>
      </c>
    </row>
    <row r="56" spans="1:5" x14ac:dyDescent="0.25">
      <c r="A56" s="31" t="s">
        <v>1110</v>
      </c>
      <c r="B56" s="32">
        <v>44562</v>
      </c>
      <c r="C56" s="31"/>
      <c r="D56" s="31" t="s">
        <v>13</v>
      </c>
      <c r="E56" s="15">
        <v>369.3</v>
      </c>
    </row>
    <row r="57" spans="1:5" x14ac:dyDescent="0.25">
      <c r="A57" s="31" t="s">
        <v>1111</v>
      </c>
      <c r="B57" s="32">
        <v>44562</v>
      </c>
      <c r="C57" s="31"/>
      <c r="D57" s="31" t="s">
        <v>13</v>
      </c>
      <c r="E57" s="15">
        <v>299.3</v>
      </c>
    </row>
    <row r="58" spans="1:5" x14ac:dyDescent="0.25">
      <c r="A58" s="31" t="s">
        <v>1112</v>
      </c>
      <c r="B58" s="32">
        <v>44562</v>
      </c>
      <c r="C58" s="31"/>
      <c r="D58" s="31" t="s">
        <v>13</v>
      </c>
      <c r="E58" s="15">
        <v>389.3</v>
      </c>
    </row>
    <row r="59" spans="1:5" x14ac:dyDescent="0.25">
      <c r="A59" s="31" t="s">
        <v>1113</v>
      </c>
      <c r="B59" s="32">
        <v>44562</v>
      </c>
      <c r="C59" s="31"/>
      <c r="D59" s="31" t="s">
        <v>13</v>
      </c>
      <c r="E59" s="15">
        <v>309.3</v>
      </c>
    </row>
    <row r="60" spans="1:5" x14ac:dyDescent="0.25">
      <c r="A60" s="31" t="s">
        <v>1114</v>
      </c>
      <c r="B60" s="32">
        <v>44562</v>
      </c>
      <c r="C60" s="31"/>
      <c r="D60" s="31" t="s">
        <v>13</v>
      </c>
      <c r="E60" s="15">
        <v>389.3</v>
      </c>
    </row>
    <row r="61" spans="1:5" x14ac:dyDescent="0.25">
      <c r="A61" s="31" t="s">
        <v>1115</v>
      </c>
      <c r="B61" s="32">
        <v>44562</v>
      </c>
      <c r="C61" s="31"/>
      <c r="D61" s="31" t="s">
        <v>13</v>
      </c>
      <c r="E61" s="15">
        <v>349.3</v>
      </c>
    </row>
    <row r="62" spans="1:5" x14ac:dyDescent="0.25">
      <c r="A62" s="31" t="s">
        <v>1116</v>
      </c>
      <c r="B62" s="32">
        <v>44562</v>
      </c>
      <c r="C62" s="31"/>
      <c r="D62" s="31" t="s">
        <v>13</v>
      </c>
      <c r="E62" s="15">
        <v>369.3</v>
      </c>
    </row>
    <row r="63" spans="1:5" x14ac:dyDescent="0.25">
      <c r="A63" s="31" t="s">
        <v>1117</v>
      </c>
      <c r="B63" s="32">
        <v>44562</v>
      </c>
      <c r="C63" s="31"/>
      <c r="D63" s="31" t="s">
        <v>13</v>
      </c>
      <c r="E63" s="15">
        <v>309.3</v>
      </c>
    </row>
    <row r="64" spans="1:5" x14ac:dyDescent="0.25">
      <c r="A64" s="31" t="s">
        <v>1118</v>
      </c>
      <c r="B64" s="32">
        <v>44562</v>
      </c>
      <c r="C64" s="31"/>
      <c r="D64" s="31" t="s">
        <v>13</v>
      </c>
      <c r="E64" s="15">
        <v>369.3</v>
      </c>
    </row>
    <row r="65" spans="1:5" x14ac:dyDescent="0.25">
      <c r="A65" s="31" t="s">
        <v>1119</v>
      </c>
      <c r="B65" s="32">
        <v>44562</v>
      </c>
      <c r="C65" s="31"/>
      <c r="D65" s="31" t="s">
        <v>13</v>
      </c>
      <c r="E65" s="15">
        <v>309.3</v>
      </c>
    </row>
    <row r="66" spans="1:5" x14ac:dyDescent="0.25">
      <c r="A66" s="31" t="s">
        <v>1120</v>
      </c>
      <c r="B66" s="32">
        <v>44562</v>
      </c>
      <c r="C66" s="31"/>
      <c r="D66" s="31" t="s">
        <v>13</v>
      </c>
      <c r="E66" s="15">
        <v>389.3</v>
      </c>
    </row>
    <row r="67" spans="1:5" x14ac:dyDescent="0.25">
      <c r="A67" s="31" t="s">
        <v>1121</v>
      </c>
      <c r="B67" s="32">
        <v>44562</v>
      </c>
      <c r="C67" s="31"/>
      <c r="D67" s="31" t="s">
        <v>13</v>
      </c>
      <c r="E67" s="15">
        <v>309.3</v>
      </c>
    </row>
    <row r="68" spans="1:5" x14ac:dyDescent="0.25">
      <c r="A68" s="31" t="s">
        <v>1122</v>
      </c>
      <c r="B68" s="32">
        <v>44562</v>
      </c>
      <c r="C68" s="31"/>
      <c r="D68" s="31" t="s">
        <v>13</v>
      </c>
      <c r="E68" s="15">
        <v>389.3</v>
      </c>
    </row>
    <row r="69" spans="1:5" x14ac:dyDescent="0.25">
      <c r="A69" s="31" t="s">
        <v>1123</v>
      </c>
      <c r="B69" s="32">
        <v>44562</v>
      </c>
      <c r="C69" s="31"/>
      <c r="D69" s="31" t="s">
        <v>13</v>
      </c>
      <c r="E69" s="15">
        <v>309.3</v>
      </c>
    </row>
    <row r="70" spans="1:5" x14ac:dyDescent="0.25">
      <c r="A70" s="31" t="s">
        <v>1124</v>
      </c>
      <c r="B70" s="32">
        <v>44562</v>
      </c>
      <c r="C70" s="31"/>
      <c r="D70" s="31" t="s">
        <v>13</v>
      </c>
      <c r="E70" s="15">
        <v>369.3</v>
      </c>
    </row>
    <row r="71" spans="1:5" x14ac:dyDescent="0.25">
      <c r="A71" s="31" t="s">
        <v>1125</v>
      </c>
      <c r="B71" s="32">
        <v>44562</v>
      </c>
      <c r="C71" s="31"/>
      <c r="D71" s="31" t="s">
        <v>13</v>
      </c>
      <c r="E71" s="15">
        <v>309.3</v>
      </c>
    </row>
    <row r="72" spans="1:5" x14ac:dyDescent="0.25">
      <c r="A72" s="31" t="s">
        <v>1126</v>
      </c>
      <c r="B72" s="32">
        <v>44562</v>
      </c>
      <c r="C72" s="31"/>
      <c r="D72" s="31" t="s">
        <v>13</v>
      </c>
      <c r="E72" s="15">
        <v>369.3</v>
      </c>
    </row>
    <row r="73" spans="1:5" x14ac:dyDescent="0.25">
      <c r="A73" s="31" t="s">
        <v>1127</v>
      </c>
      <c r="B73" s="32">
        <v>44562</v>
      </c>
      <c r="C73" s="31"/>
      <c r="D73" s="31" t="s">
        <v>13</v>
      </c>
      <c r="E73" s="15">
        <v>309.3</v>
      </c>
    </row>
    <row r="74" spans="1:5" x14ac:dyDescent="0.25">
      <c r="A74" s="31" t="s">
        <v>1128</v>
      </c>
      <c r="B74" s="32">
        <v>44562</v>
      </c>
      <c r="C74" s="31"/>
      <c r="D74" s="31" t="s">
        <v>13</v>
      </c>
      <c r="E74" s="15">
        <v>389.3</v>
      </c>
    </row>
    <row r="75" spans="1:5" x14ac:dyDescent="0.25">
      <c r="A75" s="31" t="s">
        <v>1129</v>
      </c>
      <c r="B75" s="32">
        <v>44562</v>
      </c>
      <c r="C75" s="31"/>
      <c r="D75" s="31" t="s">
        <v>13</v>
      </c>
      <c r="E75" s="15">
        <v>329.3</v>
      </c>
    </row>
    <row r="76" spans="1:5" x14ac:dyDescent="0.25">
      <c r="A76" s="31" t="s">
        <v>1130</v>
      </c>
      <c r="B76" s="32">
        <v>44562</v>
      </c>
      <c r="C76" s="31"/>
      <c r="D76" s="31" t="s">
        <v>13</v>
      </c>
      <c r="E76" s="15">
        <v>389.3</v>
      </c>
    </row>
    <row r="77" spans="1:5" x14ac:dyDescent="0.25">
      <c r="A77" s="31" t="s">
        <v>1131</v>
      </c>
      <c r="B77" s="32">
        <v>44562</v>
      </c>
      <c r="C77" s="31"/>
      <c r="D77" s="31" t="s">
        <v>13</v>
      </c>
      <c r="E77" s="15">
        <v>329.3</v>
      </c>
    </row>
    <row r="78" spans="1:5" x14ac:dyDescent="0.25">
      <c r="A78" s="31" t="s">
        <v>1132</v>
      </c>
      <c r="B78" s="32">
        <v>44562</v>
      </c>
      <c r="C78" s="31"/>
      <c r="D78" s="31" t="s">
        <v>13</v>
      </c>
      <c r="E78" s="15">
        <v>389.3</v>
      </c>
    </row>
    <row r="79" spans="1:5" x14ac:dyDescent="0.25">
      <c r="A79" s="31" t="s">
        <v>1133</v>
      </c>
      <c r="B79" s="32">
        <v>44562</v>
      </c>
      <c r="C79" s="31"/>
      <c r="D79" s="31" t="s">
        <v>13</v>
      </c>
      <c r="E79" s="15">
        <v>309.3</v>
      </c>
    </row>
    <row r="80" spans="1:5" x14ac:dyDescent="0.25">
      <c r="A80" s="31" t="s">
        <v>1134</v>
      </c>
      <c r="B80" s="32">
        <v>44562</v>
      </c>
      <c r="C80" s="31"/>
      <c r="D80" s="31" t="s">
        <v>13</v>
      </c>
      <c r="E80" s="15">
        <v>389.3</v>
      </c>
    </row>
    <row r="81" spans="1:5" x14ac:dyDescent="0.25">
      <c r="A81" s="31" t="s">
        <v>1135</v>
      </c>
      <c r="B81" s="32">
        <v>44562</v>
      </c>
      <c r="C81" s="31"/>
      <c r="D81" s="31" t="s">
        <v>13</v>
      </c>
      <c r="E81" s="15">
        <v>309.3</v>
      </c>
    </row>
    <row r="82" spans="1:5" x14ac:dyDescent="0.25">
      <c r="A82" s="31" t="s">
        <v>1136</v>
      </c>
      <c r="B82" s="32">
        <v>44562</v>
      </c>
      <c r="C82" s="31"/>
      <c r="D82" s="31" t="s">
        <v>13</v>
      </c>
      <c r="E82" s="15">
        <v>369.3</v>
      </c>
    </row>
    <row r="83" spans="1:5" x14ac:dyDescent="0.25">
      <c r="A83" s="31" t="s">
        <v>1137</v>
      </c>
      <c r="B83" s="32">
        <v>44562</v>
      </c>
      <c r="C83" s="31"/>
      <c r="D83" s="31" t="s">
        <v>13</v>
      </c>
      <c r="E83" s="15">
        <v>309.3</v>
      </c>
    </row>
    <row r="84" spans="1:5" x14ac:dyDescent="0.25">
      <c r="A84" s="31" t="s">
        <v>1138</v>
      </c>
      <c r="B84" s="32">
        <v>44562</v>
      </c>
      <c r="C84" s="31"/>
      <c r="D84" s="31" t="s">
        <v>13</v>
      </c>
      <c r="E84" s="15">
        <v>389.3</v>
      </c>
    </row>
    <row r="85" spans="1:5" x14ac:dyDescent="0.25">
      <c r="A85" s="31" t="s">
        <v>1139</v>
      </c>
      <c r="B85" s="32">
        <v>44562</v>
      </c>
      <c r="C85" s="31"/>
      <c r="D85" s="31" t="s">
        <v>13</v>
      </c>
      <c r="E85" s="15">
        <v>309.3</v>
      </c>
    </row>
    <row r="86" spans="1:5" x14ac:dyDescent="0.25">
      <c r="A86" s="31" t="s">
        <v>1140</v>
      </c>
      <c r="B86" s="32">
        <v>44562</v>
      </c>
      <c r="C86" s="31"/>
      <c r="D86" s="31" t="s">
        <v>13</v>
      </c>
      <c r="E86" s="15">
        <v>369.3</v>
      </c>
    </row>
    <row r="87" spans="1:5" x14ac:dyDescent="0.25">
      <c r="A87" s="31" t="s">
        <v>1141</v>
      </c>
      <c r="B87" s="32">
        <v>44562</v>
      </c>
      <c r="C87" s="31"/>
      <c r="D87" s="31" t="s">
        <v>13</v>
      </c>
      <c r="E87" s="15">
        <v>329.3</v>
      </c>
    </row>
    <row r="88" spans="1:5" x14ac:dyDescent="0.25">
      <c r="A88" s="31" t="s">
        <v>1142</v>
      </c>
      <c r="B88" s="32">
        <v>44562</v>
      </c>
      <c r="C88" s="31"/>
      <c r="D88" s="31" t="s">
        <v>13</v>
      </c>
      <c r="E88" s="15">
        <v>329.3</v>
      </c>
    </row>
    <row r="89" spans="1:5" x14ac:dyDescent="0.25">
      <c r="A89" s="31" t="s">
        <v>1143</v>
      </c>
      <c r="B89" s="32">
        <v>44562</v>
      </c>
      <c r="C89" s="31"/>
      <c r="D89" s="31" t="s">
        <v>13</v>
      </c>
      <c r="E89" s="15">
        <v>329.3</v>
      </c>
    </row>
    <row r="90" spans="1:5" x14ac:dyDescent="0.25">
      <c r="A90" s="31" t="s">
        <v>1144</v>
      </c>
      <c r="B90" s="32">
        <v>44562</v>
      </c>
      <c r="C90" s="31"/>
      <c r="D90" s="31" t="s">
        <v>13</v>
      </c>
      <c r="E90" s="15">
        <v>369.3</v>
      </c>
    </row>
    <row r="91" spans="1:5" x14ac:dyDescent="0.25">
      <c r="A91" s="31" t="s">
        <v>1145</v>
      </c>
      <c r="B91" s="32">
        <v>44562</v>
      </c>
      <c r="C91" s="31"/>
      <c r="D91" s="31" t="s">
        <v>13</v>
      </c>
      <c r="E91" s="15">
        <v>309.3</v>
      </c>
    </row>
    <row r="92" spans="1:5" x14ac:dyDescent="0.25">
      <c r="A92" s="31" t="s">
        <v>1146</v>
      </c>
      <c r="B92" s="32">
        <v>44562</v>
      </c>
      <c r="C92" s="31"/>
      <c r="D92" s="31" t="s">
        <v>13</v>
      </c>
      <c r="E92" s="15">
        <v>309.3</v>
      </c>
    </row>
    <row r="93" spans="1:5" x14ac:dyDescent="0.25">
      <c r="A93" s="31" t="s">
        <v>1147</v>
      </c>
      <c r="B93" s="32">
        <v>44562</v>
      </c>
      <c r="C93" s="31"/>
      <c r="D93" s="31" t="s">
        <v>13</v>
      </c>
      <c r="E93" s="15">
        <v>309.3</v>
      </c>
    </row>
    <row r="94" spans="1:5" x14ac:dyDescent="0.25">
      <c r="A94" s="31" t="s">
        <v>1148</v>
      </c>
      <c r="B94" s="32">
        <v>44562</v>
      </c>
      <c r="C94" s="31"/>
      <c r="D94" s="31" t="s">
        <v>13</v>
      </c>
      <c r="E94" s="15">
        <v>369.3</v>
      </c>
    </row>
    <row r="95" spans="1:5" x14ac:dyDescent="0.25">
      <c r="A95" s="31" t="s">
        <v>1149</v>
      </c>
      <c r="B95" s="32">
        <v>44562</v>
      </c>
      <c r="C95" s="31"/>
      <c r="D95" s="31" t="s">
        <v>13</v>
      </c>
      <c r="E95" s="15">
        <v>329.3</v>
      </c>
    </row>
    <row r="96" spans="1:5" x14ac:dyDescent="0.25">
      <c r="A96" s="31" t="s">
        <v>1150</v>
      </c>
      <c r="B96" s="32">
        <v>44562</v>
      </c>
      <c r="C96" s="31"/>
      <c r="D96" s="31" t="s">
        <v>13</v>
      </c>
      <c r="E96" s="15">
        <v>369.3</v>
      </c>
    </row>
    <row r="97" spans="1:5" x14ac:dyDescent="0.25">
      <c r="A97" s="31" t="s">
        <v>1151</v>
      </c>
      <c r="B97" s="32">
        <v>44562</v>
      </c>
      <c r="C97" s="31"/>
      <c r="D97" s="31" t="s">
        <v>13</v>
      </c>
      <c r="E97" s="15">
        <v>329.3</v>
      </c>
    </row>
    <row r="98" spans="1:5" x14ac:dyDescent="0.25">
      <c r="A98" s="31" t="s">
        <v>1152</v>
      </c>
      <c r="B98" s="32">
        <v>44562</v>
      </c>
      <c r="C98" s="31"/>
      <c r="D98" s="31" t="s">
        <v>13</v>
      </c>
      <c r="E98" s="15">
        <v>369.3</v>
      </c>
    </row>
    <row r="99" spans="1:5" x14ac:dyDescent="0.25">
      <c r="A99" s="31" t="s">
        <v>1153</v>
      </c>
      <c r="B99" s="32">
        <v>44562</v>
      </c>
      <c r="C99" s="31"/>
      <c r="D99" s="31" t="s">
        <v>13</v>
      </c>
      <c r="E99" s="15">
        <v>369.3</v>
      </c>
    </row>
    <row r="100" spans="1:5" x14ac:dyDescent="0.25">
      <c r="A100" s="31" t="s">
        <v>1154</v>
      </c>
      <c r="B100" s="32">
        <v>44562</v>
      </c>
      <c r="C100" s="31"/>
      <c r="D100" s="31" t="s">
        <v>13</v>
      </c>
      <c r="E100" s="15">
        <v>409.3</v>
      </c>
    </row>
    <row r="101" spans="1:5" x14ac:dyDescent="0.25">
      <c r="A101" s="31" t="s">
        <v>1155</v>
      </c>
      <c r="B101" s="32">
        <v>44562</v>
      </c>
      <c r="C101" s="31"/>
      <c r="D101" s="31" t="s">
        <v>13</v>
      </c>
      <c r="E101" s="15">
        <v>329.3</v>
      </c>
    </row>
    <row r="102" spans="1:5" x14ac:dyDescent="0.25">
      <c r="A102" s="31" t="s">
        <v>1156</v>
      </c>
      <c r="B102" s="32">
        <v>44562</v>
      </c>
      <c r="C102" s="31"/>
      <c r="D102" s="31" t="s">
        <v>13</v>
      </c>
      <c r="E102" s="15">
        <v>369.3</v>
      </c>
    </row>
    <row r="103" spans="1:5" x14ac:dyDescent="0.25">
      <c r="A103" s="31" t="s">
        <v>1157</v>
      </c>
      <c r="B103" s="32">
        <v>44562</v>
      </c>
      <c r="C103" s="31"/>
      <c r="D103" s="31" t="s">
        <v>13</v>
      </c>
      <c r="E103" s="15">
        <v>349.3</v>
      </c>
    </row>
    <row r="104" spans="1:5" x14ac:dyDescent="0.25">
      <c r="A104" s="31" t="s">
        <v>1158</v>
      </c>
      <c r="B104" s="32">
        <v>44562</v>
      </c>
      <c r="C104" s="31"/>
      <c r="D104" s="31" t="s">
        <v>13</v>
      </c>
      <c r="E104" s="15">
        <v>369.3</v>
      </c>
    </row>
    <row r="105" spans="1:5" x14ac:dyDescent="0.25">
      <c r="A105" s="31" t="s">
        <v>1159</v>
      </c>
      <c r="B105" s="32">
        <v>44562</v>
      </c>
      <c r="C105" s="31"/>
      <c r="D105" s="31" t="s">
        <v>13</v>
      </c>
      <c r="E105" s="15">
        <v>349.3</v>
      </c>
    </row>
    <row r="106" spans="1:5" x14ac:dyDescent="0.25">
      <c r="A106" s="31" t="s">
        <v>1160</v>
      </c>
      <c r="B106" s="32">
        <v>44562</v>
      </c>
      <c r="C106" s="31"/>
      <c r="D106" s="31" t="s">
        <v>13</v>
      </c>
      <c r="E106" s="15">
        <v>349.3</v>
      </c>
    </row>
    <row r="107" spans="1:5" x14ac:dyDescent="0.25">
      <c r="A107" s="31" t="s">
        <v>1161</v>
      </c>
      <c r="B107" s="32">
        <v>44562</v>
      </c>
      <c r="C107" s="31"/>
      <c r="D107" s="31" t="s">
        <v>13</v>
      </c>
      <c r="E107" s="15">
        <v>349.3</v>
      </c>
    </row>
    <row r="108" spans="1:5" x14ac:dyDescent="0.25">
      <c r="A108" s="31" t="s">
        <v>1162</v>
      </c>
      <c r="B108" s="32">
        <v>44562</v>
      </c>
      <c r="C108" s="31"/>
      <c r="D108" s="31" t="s">
        <v>13</v>
      </c>
      <c r="E108" s="15">
        <v>349.3</v>
      </c>
    </row>
    <row r="109" spans="1:5" x14ac:dyDescent="0.25">
      <c r="A109" s="31" t="s">
        <v>1163</v>
      </c>
      <c r="B109" s="32">
        <v>44562</v>
      </c>
      <c r="C109" s="31"/>
      <c r="D109" s="31" t="s">
        <v>13</v>
      </c>
      <c r="E109" s="15">
        <v>369.3</v>
      </c>
    </row>
    <row r="110" spans="1:5" x14ac:dyDescent="0.25">
      <c r="A110" s="31" t="s">
        <v>1164</v>
      </c>
      <c r="B110" s="32">
        <v>44562</v>
      </c>
      <c r="C110" s="31"/>
      <c r="D110" s="31" t="s">
        <v>13</v>
      </c>
      <c r="E110" s="15">
        <v>369.3</v>
      </c>
    </row>
    <row r="111" spans="1:5" x14ac:dyDescent="0.25">
      <c r="A111" s="31" t="s">
        <v>1165</v>
      </c>
      <c r="B111" s="32">
        <v>44562</v>
      </c>
      <c r="C111" s="31"/>
      <c r="D111" s="31" t="s">
        <v>13</v>
      </c>
      <c r="E111" s="15">
        <v>329.3</v>
      </c>
    </row>
    <row r="112" spans="1:5" x14ac:dyDescent="0.25">
      <c r="A112" s="31" t="s">
        <v>1166</v>
      </c>
      <c r="B112" s="32">
        <v>44562</v>
      </c>
      <c r="C112" s="31"/>
      <c r="D112" s="31" t="s">
        <v>13</v>
      </c>
      <c r="E112" s="15">
        <v>369.3</v>
      </c>
    </row>
    <row r="113" spans="1:5" x14ac:dyDescent="0.25">
      <c r="A113" s="31" t="s">
        <v>1167</v>
      </c>
      <c r="B113" s="32">
        <v>44562</v>
      </c>
      <c r="C113" s="31"/>
      <c r="D113" s="31" t="s">
        <v>13</v>
      </c>
      <c r="E113" s="15">
        <v>329.3</v>
      </c>
    </row>
    <row r="114" spans="1:5" x14ac:dyDescent="0.25">
      <c r="A114" s="31" t="s">
        <v>1168</v>
      </c>
      <c r="B114" s="32">
        <v>44562</v>
      </c>
      <c r="C114" s="31"/>
      <c r="D114" s="31" t="s">
        <v>13</v>
      </c>
      <c r="E114" s="15">
        <v>409.3</v>
      </c>
    </row>
    <row r="115" spans="1:5" x14ac:dyDescent="0.25">
      <c r="A115" s="31" t="s">
        <v>1169</v>
      </c>
      <c r="B115" s="32">
        <v>44562</v>
      </c>
      <c r="C115" s="31"/>
      <c r="D115" s="31" t="s">
        <v>13</v>
      </c>
      <c r="E115" s="15">
        <v>329.3</v>
      </c>
    </row>
    <row r="116" spans="1:5" x14ac:dyDescent="0.25">
      <c r="A116" s="31" t="s">
        <v>1170</v>
      </c>
      <c r="B116" s="32">
        <v>44562</v>
      </c>
      <c r="C116" s="31"/>
      <c r="D116" s="31" t="s">
        <v>13</v>
      </c>
      <c r="E116" s="15">
        <v>389.3</v>
      </c>
    </row>
    <row r="117" spans="1:5" x14ac:dyDescent="0.25">
      <c r="A117" s="31" t="s">
        <v>1171</v>
      </c>
      <c r="B117" s="32">
        <v>44562</v>
      </c>
      <c r="C117" s="31"/>
      <c r="D117" s="31" t="s">
        <v>13</v>
      </c>
      <c r="E117" s="15">
        <v>329.3</v>
      </c>
    </row>
    <row r="118" spans="1:5" x14ac:dyDescent="0.25">
      <c r="A118" s="31" t="s">
        <v>1172</v>
      </c>
      <c r="B118" s="32">
        <v>44562</v>
      </c>
      <c r="C118" s="31"/>
      <c r="D118" s="31" t="s">
        <v>13</v>
      </c>
      <c r="E118" s="15">
        <v>369.3</v>
      </c>
    </row>
    <row r="119" spans="1:5" x14ac:dyDescent="0.25">
      <c r="A119" s="31" t="s">
        <v>1173</v>
      </c>
      <c r="B119" s="32">
        <v>44562</v>
      </c>
      <c r="C119" s="31"/>
      <c r="D119" s="31" t="s">
        <v>13</v>
      </c>
      <c r="E119" s="15">
        <v>309.3</v>
      </c>
    </row>
    <row r="120" spans="1:5" x14ac:dyDescent="0.25">
      <c r="A120" s="31" t="s">
        <v>1174</v>
      </c>
      <c r="B120" s="32">
        <v>44562</v>
      </c>
      <c r="C120" s="31"/>
      <c r="D120" s="31" t="s">
        <v>13</v>
      </c>
      <c r="E120" s="15">
        <v>309.3</v>
      </c>
    </row>
    <row r="121" spans="1:5" x14ac:dyDescent="0.25">
      <c r="A121" s="31" t="s">
        <v>1175</v>
      </c>
      <c r="B121" s="32">
        <v>44562</v>
      </c>
      <c r="C121" s="31"/>
      <c r="D121" s="31" t="s">
        <v>13</v>
      </c>
      <c r="E121" s="15">
        <v>409.3</v>
      </c>
    </row>
    <row r="122" spans="1:5" x14ac:dyDescent="0.25">
      <c r="A122" s="31" t="s">
        <v>1176</v>
      </c>
      <c r="B122" s="32">
        <v>44562</v>
      </c>
      <c r="C122" s="31"/>
      <c r="D122" s="31" t="s">
        <v>13</v>
      </c>
      <c r="E122" s="15">
        <v>329.3</v>
      </c>
    </row>
    <row r="123" spans="1:5" x14ac:dyDescent="0.25">
      <c r="A123" s="31" t="s">
        <v>1177</v>
      </c>
      <c r="B123" s="32">
        <v>44562</v>
      </c>
      <c r="C123" s="31"/>
      <c r="D123" s="31" t="s">
        <v>13</v>
      </c>
      <c r="E123" s="15">
        <v>329.3</v>
      </c>
    </row>
    <row r="124" spans="1:5" x14ac:dyDescent="0.25">
      <c r="A124" s="31" t="s">
        <v>1178</v>
      </c>
      <c r="B124" s="32">
        <v>44562</v>
      </c>
      <c r="C124" s="31"/>
      <c r="D124" s="31" t="s">
        <v>13</v>
      </c>
      <c r="E124" s="15">
        <v>369.3</v>
      </c>
    </row>
    <row r="125" spans="1:5" x14ac:dyDescent="0.25">
      <c r="A125" s="31" t="s">
        <v>1179</v>
      </c>
      <c r="B125" s="32">
        <v>44562</v>
      </c>
      <c r="C125" s="31"/>
      <c r="D125" s="31" t="s">
        <v>13</v>
      </c>
      <c r="E125" s="15">
        <v>409.3</v>
      </c>
    </row>
    <row r="126" spans="1:5" x14ac:dyDescent="0.25">
      <c r="A126" s="31" t="s">
        <v>1180</v>
      </c>
      <c r="B126" s="32">
        <v>44562</v>
      </c>
      <c r="C126" s="31"/>
      <c r="D126" s="31" t="s">
        <v>13</v>
      </c>
      <c r="E126" s="15">
        <v>309.3</v>
      </c>
    </row>
    <row r="127" spans="1:5" x14ac:dyDescent="0.25">
      <c r="A127" s="31" t="s">
        <v>1181</v>
      </c>
      <c r="B127" s="32">
        <v>44562</v>
      </c>
      <c r="C127" s="31"/>
      <c r="D127" s="31" t="s">
        <v>13</v>
      </c>
      <c r="E127" s="15">
        <v>389.3</v>
      </c>
    </row>
    <row r="128" spans="1:5" x14ac:dyDescent="0.25">
      <c r="A128" s="31" t="s">
        <v>1182</v>
      </c>
      <c r="B128" s="32">
        <v>44562</v>
      </c>
      <c r="C128" s="31"/>
      <c r="D128" s="31" t="s">
        <v>13</v>
      </c>
      <c r="E128" s="15">
        <v>369.3</v>
      </c>
    </row>
    <row r="129" spans="1:5" x14ac:dyDescent="0.25">
      <c r="A129" s="31" t="s">
        <v>1183</v>
      </c>
      <c r="B129" s="32">
        <v>44562</v>
      </c>
      <c r="C129" s="31"/>
      <c r="D129" s="31" t="s">
        <v>13</v>
      </c>
      <c r="E129" s="15">
        <v>389.3</v>
      </c>
    </row>
    <row r="130" spans="1:5" x14ac:dyDescent="0.25">
      <c r="A130" s="31" t="s">
        <v>1184</v>
      </c>
      <c r="B130" s="32">
        <v>44562</v>
      </c>
      <c r="C130" s="31"/>
      <c r="D130" s="31" t="s">
        <v>13</v>
      </c>
      <c r="E130" s="15">
        <v>309.3</v>
      </c>
    </row>
    <row r="131" spans="1:5" x14ac:dyDescent="0.25">
      <c r="A131" s="31" t="s">
        <v>1185</v>
      </c>
      <c r="B131" s="32">
        <v>44562</v>
      </c>
      <c r="C131" s="31"/>
      <c r="D131" s="31" t="s">
        <v>13</v>
      </c>
      <c r="E131" s="15">
        <v>409.3</v>
      </c>
    </row>
    <row r="132" spans="1:5" x14ac:dyDescent="0.25">
      <c r="A132" s="31" t="s">
        <v>1186</v>
      </c>
      <c r="B132" s="32">
        <v>44562</v>
      </c>
      <c r="C132" s="31"/>
      <c r="D132" s="31" t="s">
        <v>13</v>
      </c>
      <c r="E132" s="15">
        <v>309.3</v>
      </c>
    </row>
    <row r="133" spans="1:5" x14ac:dyDescent="0.25">
      <c r="A133" s="31" t="s">
        <v>1187</v>
      </c>
      <c r="B133" s="32">
        <v>44562</v>
      </c>
      <c r="C133" s="31"/>
      <c r="D133" s="31" t="s">
        <v>13</v>
      </c>
      <c r="E133" s="15">
        <v>409.3</v>
      </c>
    </row>
    <row r="134" spans="1:5" x14ac:dyDescent="0.25">
      <c r="A134" s="31" t="s">
        <v>1188</v>
      </c>
      <c r="B134" s="32">
        <v>44562</v>
      </c>
      <c r="C134" s="31"/>
      <c r="D134" s="31" t="s">
        <v>13</v>
      </c>
      <c r="E134" s="15">
        <v>349.3</v>
      </c>
    </row>
    <row r="135" spans="1:5" x14ac:dyDescent="0.25">
      <c r="A135" s="31" t="s">
        <v>1189</v>
      </c>
      <c r="B135" s="32">
        <v>44562</v>
      </c>
      <c r="C135" s="31"/>
      <c r="D135" s="31" t="s">
        <v>13</v>
      </c>
      <c r="E135" s="15">
        <v>409.3</v>
      </c>
    </row>
    <row r="136" spans="1:5" x14ac:dyDescent="0.25">
      <c r="A136" s="31" t="s">
        <v>1190</v>
      </c>
      <c r="B136" s="32">
        <v>44562</v>
      </c>
      <c r="C136" s="31"/>
      <c r="D136" s="31" t="s">
        <v>13</v>
      </c>
      <c r="E136" s="15">
        <v>349.3</v>
      </c>
    </row>
    <row r="137" spans="1:5" x14ac:dyDescent="0.25">
      <c r="A137" s="31" t="s">
        <v>1191</v>
      </c>
      <c r="B137" s="32">
        <v>44562</v>
      </c>
      <c r="C137" s="31"/>
      <c r="D137" s="31" t="s">
        <v>13</v>
      </c>
      <c r="E137" s="15">
        <v>349.3</v>
      </c>
    </row>
    <row r="138" spans="1:5" x14ac:dyDescent="0.25">
      <c r="A138" s="31" t="s">
        <v>1192</v>
      </c>
      <c r="B138" s="32">
        <v>44562</v>
      </c>
      <c r="C138" s="31"/>
      <c r="D138" s="31" t="s">
        <v>13</v>
      </c>
      <c r="E138" s="15">
        <v>349.3</v>
      </c>
    </row>
    <row r="139" spans="1:5" x14ac:dyDescent="0.25">
      <c r="A139" s="31" t="s">
        <v>1193</v>
      </c>
      <c r="B139" s="32">
        <v>44562</v>
      </c>
      <c r="C139" s="31"/>
      <c r="D139" s="31" t="s">
        <v>13</v>
      </c>
      <c r="E139" s="15">
        <v>349.3</v>
      </c>
    </row>
    <row r="140" spans="1:5" x14ac:dyDescent="0.25">
      <c r="A140" s="31" t="s">
        <v>1194</v>
      </c>
      <c r="B140" s="32">
        <v>44562</v>
      </c>
      <c r="C140" s="31"/>
      <c r="D140" s="31" t="s">
        <v>13</v>
      </c>
      <c r="E140" s="15">
        <v>309.3</v>
      </c>
    </row>
    <row r="141" spans="1:5" x14ac:dyDescent="0.25">
      <c r="A141" s="31" t="s">
        <v>1195</v>
      </c>
      <c r="B141" s="32">
        <v>44562</v>
      </c>
      <c r="C141" s="31"/>
      <c r="D141" s="31" t="s">
        <v>13</v>
      </c>
      <c r="E141" s="15">
        <v>389.3</v>
      </c>
    </row>
    <row r="142" spans="1:5" x14ac:dyDescent="0.25">
      <c r="A142" s="31" t="s">
        <v>1196</v>
      </c>
      <c r="B142" s="32">
        <v>44562</v>
      </c>
      <c r="C142" s="31"/>
      <c r="D142" s="31" t="s">
        <v>13</v>
      </c>
      <c r="E142" s="15">
        <v>309.3</v>
      </c>
    </row>
    <row r="143" spans="1:5" x14ac:dyDescent="0.25">
      <c r="A143" s="31" t="s">
        <v>1197</v>
      </c>
      <c r="B143" s="32">
        <v>44562</v>
      </c>
      <c r="C143" s="31"/>
      <c r="D143" s="31" t="s">
        <v>13</v>
      </c>
      <c r="E143" s="15">
        <v>369.3</v>
      </c>
    </row>
    <row r="144" spans="1:5" x14ac:dyDescent="0.25">
      <c r="A144" s="31" t="s">
        <v>1198</v>
      </c>
      <c r="B144" s="32">
        <v>44562</v>
      </c>
      <c r="C144" s="31"/>
      <c r="D144" s="31" t="s">
        <v>13</v>
      </c>
      <c r="E144" s="15">
        <v>309.3</v>
      </c>
    </row>
    <row r="145" spans="1:5" x14ac:dyDescent="0.25">
      <c r="A145" s="31" t="s">
        <v>1199</v>
      </c>
      <c r="B145" s="32">
        <v>44562</v>
      </c>
      <c r="C145" s="31"/>
      <c r="D145" s="31" t="s">
        <v>13</v>
      </c>
      <c r="E145" s="15">
        <v>369.3</v>
      </c>
    </row>
    <row r="146" spans="1:5" x14ac:dyDescent="0.25">
      <c r="A146" s="31" t="s">
        <v>1200</v>
      </c>
      <c r="B146" s="32">
        <v>44562</v>
      </c>
      <c r="C146" s="31"/>
      <c r="D146" s="31" t="s">
        <v>13</v>
      </c>
      <c r="E146" s="15">
        <v>309.3</v>
      </c>
    </row>
    <row r="147" spans="1:5" x14ac:dyDescent="0.25">
      <c r="A147" s="31" t="s">
        <v>1201</v>
      </c>
      <c r="B147" s="32">
        <v>44562</v>
      </c>
      <c r="C147" s="31"/>
      <c r="D147" s="31" t="s">
        <v>13</v>
      </c>
      <c r="E147" s="15">
        <v>369.3</v>
      </c>
    </row>
    <row r="148" spans="1:5" x14ac:dyDescent="0.25">
      <c r="A148" s="31" t="s">
        <v>1202</v>
      </c>
      <c r="B148" s="32">
        <v>44562</v>
      </c>
      <c r="C148" s="31"/>
      <c r="D148" s="31" t="s">
        <v>13</v>
      </c>
      <c r="E148" s="15">
        <v>309.3</v>
      </c>
    </row>
    <row r="149" spans="1:5" x14ac:dyDescent="0.25">
      <c r="A149" s="31" t="s">
        <v>1203</v>
      </c>
      <c r="B149" s="32">
        <v>44562</v>
      </c>
      <c r="C149" s="31"/>
      <c r="D149" s="31" t="s">
        <v>13</v>
      </c>
      <c r="E149" s="15">
        <v>369.3</v>
      </c>
    </row>
    <row r="150" spans="1:5" x14ac:dyDescent="0.25">
      <c r="A150" s="31" t="s">
        <v>1204</v>
      </c>
      <c r="B150" s="32">
        <v>44562</v>
      </c>
      <c r="C150" s="31"/>
      <c r="D150" s="31" t="s">
        <v>13</v>
      </c>
      <c r="E150" s="15">
        <v>309.3</v>
      </c>
    </row>
    <row r="151" spans="1:5" x14ac:dyDescent="0.25">
      <c r="A151" s="31" t="s">
        <v>1205</v>
      </c>
      <c r="B151" s="32">
        <v>44562</v>
      </c>
      <c r="C151" s="31"/>
      <c r="D151" s="31" t="s">
        <v>13</v>
      </c>
      <c r="E151" s="15">
        <v>369.3</v>
      </c>
    </row>
    <row r="152" spans="1:5" x14ac:dyDescent="0.25">
      <c r="A152" s="31" t="s">
        <v>1206</v>
      </c>
      <c r="B152" s="32">
        <v>44562</v>
      </c>
      <c r="C152" s="31"/>
      <c r="D152" s="31" t="s">
        <v>13</v>
      </c>
      <c r="E152" s="15">
        <v>369.3</v>
      </c>
    </row>
    <row r="153" spans="1:5" x14ac:dyDescent="0.25">
      <c r="A153" s="31" t="s">
        <v>1207</v>
      </c>
      <c r="B153" s="32">
        <v>44562</v>
      </c>
      <c r="C153" s="31"/>
      <c r="D153" s="31" t="s">
        <v>13</v>
      </c>
      <c r="E153" s="15">
        <v>369.3</v>
      </c>
    </row>
    <row r="154" spans="1:5" x14ac:dyDescent="0.25">
      <c r="A154" s="31" t="s">
        <v>1208</v>
      </c>
      <c r="B154" s="32">
        <v>44562</v>
      </c>
      <c r="C154" s="31"/>
      <c r="D154" s="31" t="s">
        <v>13</v>
      </c>
      <c r="E154" s="15">
        <v>369.3</v>
      </c>
    </row>
    <row r="155" spans="1:5" x14ac:dyDescent="0.25">
      <c r="A155" s="31" t="s">
        <v>1209</v>
      </c>
      <c r="B155" s="32">
        <v>44562</v>
      </c>
      <c r="C155" s="31"/>
      <c r="D155" s="31" t="s">
        <v>13</v>
      </c>
      <c r="E155" s="15">
        <v>369.3</v>
      </c>
    </row>
    <row r="156" spans="1:5" x14ac:dyDescent="0.25">
      <c r="A156" s="31" t="s">
        <v>1210</v>
      </c>
      <c r="B156" s="32">
        <v>44562</v>
      </c>
      <c r="C156" s="31"/>
      <c r="D156" s="31" t="s">
        <v>13</v>
      </c>
      <c r="E156" s="15">
        <v>369.3</v>
      </c>
    </row>
    <row r="157" spans="1:5" x14ac:dyDescent="0.25">
      <c r="A157" s="31" t="s">
        <v>1211</v>
      </c>
      <c r="B157" s="32">
        <v>44562</v>
      </c>
      <c r="C157" s="31"/>
      <c r="D157" s="31" t="s">
        <v>13</v>
      </c>
      <c r="E157" s="15">
        <v>369.3</v>
      </c>
    </row>
    <row r="158" spans="1:5" x14ac:dyDescent="0.25">
      <c r="A158" s="31" t="s">
        <v>1212</v>
      </c>
      <c r="B158" s="32">
        <v>44562</v>
      </c>
      <c r="C158" s="31"/>
      <c r="D158" s="31" t="s">
        <v>13</v>
      </c>
      <c r="E158" s="15">
        <v>309.3</v>
      </c>
    </row>
    <row r="159" spans="1:5" x14ac:dyDescent="0.25">
      <c r="A159" s="31" t="s">
        <v>1213</v>
      </c>
      <c r="B159" s="32">
        <v>44562</v>
      </c>
      <c r="C159" s="31"/>
      <c r="D159" s="31" t="s">
        <v>13</v>
      </c>
      <c r="E159" s="15">
        <v>269.3</v>
      </c>
    </row>
    <row r="160" spans="1:5" x14ac:dyDescent="0.25">
      <c r="A160" s="31" t="s">
        <v>1214</v>
      </c>
      <c r="B160" s="32">
        <v>44562</v>
      </c>
      <c r="C160" s="31"/>
      <c r="D160" s="31" t="s">
        <v>13</v>
      </c>
      <c r="E160" s="15">
        <v>299.3</v>
      </c>
    </row>
    <row r="161" spans="1:5" x14ac:dyDescent="0.25">
      <c r="A161" s="31" t="s">
        <v>1215</v>
      </c>
      <c r="B161" s="32">
        <v>44562</v>
      </c>
      <c r="C161" s="31"/>
      <c r="D161" s="31" t="s">
        <v>13</v>
      </c>
      <c r="E161" s="15">
        <v>299.3</v>
      </c>
    </row>
    <row r="162" spans="1:5" x14ac:dyDescent="0.25">
      <c r="A162" s="31" t="s">
        <v>1216</v>
      </c>
      <c r="B162" s="32">
        <v>44562</v>
      </c>
      <c r="C162" s="31"/>
      <c r="D162" s="31" t="s">
        <v>13</v>
      </c>
      <c r="E162" s="15">
        <v>369.3</v>
      </c>
    </row>
    <row r="163" spans="1:5" x14ac:dyDescent="0.25">
      <c r="A163" s="31" t="s">
        <v>1217</v>
      </c>
      <c r="B163" s="32">
        <v>44562</v>
      </c>
      <c r="C163" s="31"/>
      <c r="D163" s="31" t="s">
        <v>13</v>
      </c>
      <c r="E163" s="15">
        <v>269.3</v>
      </c>
    </row>
    <row r="164" spans="1:5" x14ac:dyDescent="0.25">
      <c r="A164" s="31" t="s">
        <v>1218</v>
      </c>
      <c r="B164" s="32">
        <v>44562</v>
      </c>
      <c r="C164" s="31"/>
      <c r="D164" s="31" t="s">
        <v>13</v>
      </c>
      <c r="E164" s="15">
        <v>369.3</v>
      </c>
    </row>
    <row r="165" spans="1:5" x14ac:dyDescent="0.25">
      <c r="A165" s="31" t="s">
        <v>1219</v>
      </c>
      <c r="B165" s="32">
        <v>44562</v>
      </c>
      <c r="C165" s="31"/>
      <c r="D165" s="31" t="s">
        <v>13</v>
      </c>
      <c r="E165" s="15">
        <v>369.3</v>
      </c>
    </row>
    <row r="166" spans="1:5" x14ac:dyDescent="0.25">
      <c r="A166" s="31" t="s">
        <v>1220</v>
      </c>
      <c r="B166" s="32">
        <v>44562</v>
      </c>
      <c r="C166" s="31"/>
      <c r="D166" s="31" t="s">
        <v>13</v>
      </c>
      <c r="E166" s="15">
        <v>309.3</v>
      </c>
    </row>
    <row r="167" spans="1:5" x14ac:dyDescent="0.25">
      <c r="A167" s="31" t="s">
        <v>1221</v>
      </c>
      <c r="B167" s="32">
        <v>44562</v>
      </c>
      <c r="C167" s="31"/>
      <c r="D167" s="31" t="s">
        <v>13</v>
      </c>
      <c r="E167" s="15">
        <v>349.3</v>
      </c>
    </row>
    <row r="168" spans="1:5" x14ac:dyDescent="0.25">
      <c r="A168" s="31" t="s">
        <v>1222</v>
      </c>
      <c r="B168" s="32">
        <v>44562</v>
      </c>
      <c r="C168" s="31"/>
      <c r="D168" s="31" t="s">
        <v>13</v>
      </c>
      <c r="E168" s="15">
        <v>309.3</v>
      </c>
    </row>
    <row r="169" spans="1:5" x14ac:dyDescent="0.25">
      <c r="A169" s="31" t="s">
        <v>1223</v>
      </c>
      <c r="B169" s="32">
        <v>44562</v>
      </c>
      <c r="C169" s="31"/>
      <c r="D169" s="31" t="s">
        <v>13</v>
      </c>
      <c r="E169" s="15">
        <v>369.3</v>
      </c>
    </row>
    <row r="170" spans="1:5" x14ac:dyDescent="0.25">
      <c r="A170" s="31" t="s">
        <v>1224</v>
      </c>
      <c r="B170" s="32">
        <v>44562</v>
      </c>
      <c r="C170" s="31"/>
      <c r="D170" s="31" t="s">
        <v>13</v>
      </c>
      <c r="E170" s="15">
        <v>369.3</v>
      </c>
    </row>
    <row r="171" spans="1:5" x14ac:dyDescent="0.25">
      <c r="A171" s="31" t="s">
        <v>1225</v>
      </c>
      <c r="B171" s="32">
        <v>44562</v>
      </c>
      <c r="C171" s="31"/>
      <c r="D171" s="31" t="s">
        <v>13</v>
      </c>
      <c r="E171" s="15">
        <v>369.3</v>
      </c>
    </row>
    <row r="172" spans="1:5" x14ac:dyDescent="0.25">
      <c r="A172" s="31" t="s">
        <v>1226</v>
      </c>
      <c r="B172" s="32">
        <v>44562</v>
      </c>
      <c r="C172" s="31"/>
      <c r="D172" s="31" t="s">
        <v>13</v>
      </c>
      <c r="E172" s="15">
        <v>369.3</v>
      </c>
    </row>
    <row r="173" spans="1:5" x14ac:dyDescent="0.25">
      <c r="A173" s="31" t="s">
        <v>1227</v>
      </c>
      <c r="B173" s="32">
        <v>44562</v>
      </c>
      <c r="C173" s="31"/>
      <c r="D173" s="31" t="s">
        <v>13</v>
      </c>
      <c r="E173" s="15">
        <v>369.3</v>
      </c>
    </row>
    <row r="174" spans="1:5" x14ac:dyDescent="0.25">
      <c r="A174" s="31" t="s">
        <v>1228</v>
      </c>
      <c r="B174" s="32">
        <v>44562</v>
      </c>
      <c r="C174" s="31"/>
      <c r="D174" s="31" t="s">
        <v>13</v>
      </c>
      <c r="E174" s="15">
        <v>369.3</v>
      </c>
    </row>
    <row r="175" spans="1:5" x14ac:dyDescent="0.25">
      <c r="A175" s="31" t="s">
        <v>1229</v>
      </c>
      <c r="B175" s="32">
        <v>44562</v>
      </c>
      <c r="C175" s="31"/>
      <c r="D175" s="31" t="s">
        <v>13</v>
      </c>
      <c r="E175" s="15">
        <v>369.3</v>
      </c>
    </row>
    <row r="176" spans="1:5" x14ac:dyDescent="0.25">
      <c r="A176" s="31" t="s">
        <v>1230</v>
      </c>
      <c r="B176" s="32">
        <v>44562</v>
      </c>
      <c r="C176" s="31"/>
      <c r="D176" s="31" t="s">
        <v>13</v>
      </c>
      <c r="E176" s="15">
        <v>369.3</v>
      </c>
    </row>
    <row r="177" spans="1:5" x14ac:dyDescent="0.25">
      <c r="A177" s="31" t="s">
        <v>1231</v>
      </c>
      <c r="B177" s="32">
        <v>44562</v>
      </c>
      <c r="C177" s="31"/>
      <c r="D177" s="31" t="s">
        <v>13</v>
      </c>
      <c r="E177" s="15">
        <v>369.3</v>
      </c>
    </row>
    <row r="178" spans="1:5" x14ac:dyDescent="0.25">
      <c r="A178" s="31" t="s">
        <v>1232</v>
      </c>
      <c r="B178" s="32">
        <v>44562</v>
      </c>
      <c r="C178" s="31"/>
      <c r="D178" s="31" t="s">
        <v>13</v>
      </c>
      <c r="E178" s="15">
        <v>369.3</v>
      </c>
    </row>
    <row r="179" spans="1:5" x14ac:dyDescent="0.25">
      <c r="A179" s="31" t="s">
        <v>1233</v>
      </c>
      <c r="B179" s="32">
        <v>44562</v>
      </c>
      <c r="C179" s="31"/>
      <c r="D179" s="31" t="s">
        <v>13</v>
      </c>
      <c r="E179" s="15">
        <v>369.3</v>
      </c>
    </row>
    <row r="180" spans="1:5" x14ac:dyDescent="0.25">
      <c r="A180" s="31" t="s">
        <v>1234</v>
      </c>
      <c r="B180" s="32">
        <v>44562</v>
      </c>
      <c r="C180" s="31"/>
      <c r="D180" s="31" t="s">
        <v>13</v>
      </c>
      <c r="E180" s="15">
        <v>369.3</v>
      </c>
    </row>
    <row r="181" spans="1:5" x14ac:dyDescent="0.25">
      <c r="A181" s="31" t="s">
        <v>1235</v>
      </c>
      <c r="B181" s="32">
        <v>44562</v>
      </c>
      <c r="C181" s="31"/>
      <c r="D181" s="31" t="s">
        <v>13</v>
      </c>
      <c r="E181" s="15">
        <v>369.3</v>
      </c>
    </row>
    <row r="182" spans="1:5" x14ac:dyDescent="0.25">
      <c r="A182" s="31" t="s">
        <v>1236</v>
      </c>
      <c r="B182" s="32">
        <v>44562</v>
      </c>
      <c r="C182" s="31"/>
      <c r="D182" s="31" t="s">
        <v>13</v>
      </c>
      <c r="E182" s="15">
        <v>369.3</v>
      </c>
    </row>
    <row r="183" spans="1:5" x14ac:dyDescent="0.25">
      <c r="A183" s="31" t="s">
        <v>1237</v>
      </c>
      <c r="B183" s="32">
        <v>44562</v>
      </c>
      <c r="C183" s="31"/>
      <c r="D183" s="31" t="s">
        <v>13</v>
      </c>
      <c r="E183" s="15">
        <v>369.3</v>
      </c>
    </row>
    <row r="184" spans="1:5" x14ac:dyDescent="0.25">
      <c r="A184" s="31" t="s">
        <v>1238</v>
      </c>
      <c r="B184" s="32">
        <v>44562</v>
      </c>
      <c r="C184" s="31"/>
      <c r="D184" s="31" t="s">
        <v>13</v>
      </c>
      <c r="E184" s="15">
        <v>369.3</v>
      </c>
    </row>
    <row r="185" spans="1:5" x14ac:dyDescent="0.25">
      <c r="A185" s="31" t="s">
        <v>1239</v>
      </c>
      <c r="B185" s="32">
        <v>44562</v>
      </c>
      <c r="C185" s="31"/>
      <c r="D185" s="31" t="s">
        <v>13</v>
      </c>
      <c r="E185" s="15">
        <v>369.3</v>
      </c>
    </row>
    <row r="186" spans="1:5" x14ac:dyDescent="0.25">
      <c r="A186" s="31" t="s">
        <v>1240</v>
      </c>
      <c r="B186" s="32">
        <v>44562</v>
      </c>
      <c r="C186" s="31"/>
      <c r="D186" s="31" t="s">
        <v>13</v>
      </c>
      <c r="E186" s="15">
        <v>369.3</v>
      </c>
    </row>
    <row r="187" spans="1:5" x14ac:dyDescent="0.25">
      <c r="A187" s="31" t="s">
        <v>1241</v>
      </c>
      <c r="B187" s="32">
        <v>44562</v>
      </c>
      <c r="C187" s="31"/>
      <c r="D187" s="31" t="s">
        <v>13</v>
      </c>
      <c r="E187" s="15">
        <v>329.3</v>
      </c>
    </row>
    <row r="188" spans="1:5" x14ac:dyDescent="0.25">
      <c r="A188" s="31" t="s">
        <v>1242</v>
      </c>
      <c r="B188" s="32">
        <v>44562</v>
      </c>
      <c r="C188" s="31"/>
      <c r="D188" s="31" t="s">
        <v>13</v>
      </c>
      <c r="E188" s="15">
        <v>329.3</v>
      </c>
    </row>
    <row r="189" spans="1:5" x14ac:dyDescent="0.25">
      <c r="A189" s="31" t="s">
        <v>1243</v>
      </c>
      <c r="B189" s="32">
        <v>44562</v>
      </c>
      <c r="C189" s="31"/>
      <c r="D189" s="31" t="s">
        <v>13</v>
      </c>
      <c r="E189" s="15">
        <v>309.3</v>
      </c>
    </row>
    <row r="190" spans="1:5" x14ac:dyDescent="0.25">
      <c r="A190" s="31" t="s">
        <v>1244</v>
      </c>
      <c r="B190" s="32">
        <v>44562</v>
      </c>
      <c r="C190" s="31"/>
      <c r="D190" s="31" t="s">
        <v>13</v>
      </c>
      <c r="E190" s="15">
        <v>309.3</v>
      </c>
    </row>
    <row r="191" spans="1:5" x14ac:dyDescent="0.25">
      <c r="A191" s="31" t="s">
        <v>1245</v>
      </c>
      <c r="B191" s="32">
        <v>44562</v>
      </c>
      <c r="C191" s="31"/>
      <c r="D191" s="31" t="s">
        <v>13</v>
      </c>
      <c r="E191" s="15">
        <v>309.3</v>
      </c>
    </row>
    <row r="192" spans="1:5" x14ac:dyDescent="0.25">
      <c r="A192" s="31" t="s">
        <v>1246</v>
      </c>
      <c r="B192" s="32">
        <v>44562</v>
      </c>
      <c r="C192" s="31"/>
      <c r="D192" s="31" t="s">
        <v>13</v>
      </c>
      <c r="E192" s="15">
        <v>309.3</v>
      </c>
    </row>
    <row r="193" spans="1:5" x14ac:dyDescent="0.25">
      <c r="A193" s="31" t="s">
        <v>1247</v>
      </c>
      <c r="B193" s="32">
        <v>44562</v>
      </c>
      <c r="C193" s="31"/>
      <c r="D193" s="31" t="s">
        <v>13</v>
      </c>
      <c r="E193" s="15">
        <v>309.3</v>
      </c>
    </row>
    <row r="194" spans="1:5" x14ac:dyDescent="0.25">
      <c r="A194" s="31" t="s">
        <v>1248</v>
      </c>
      <c r="B194" s="32">
        <v>44562</v>
      </c>
      <c r="C194" s="31"/>
      <c r="D194" s="31" t="s">
        <v>13</v>
      </c>
      <c r="E194" s="15">
        <v>309.3</v>
      </c>
    </row>
    <row r="195" spans="1:5" x14ac:dyDescent="0.25">
      <c r="A195" s="31" t="s">
        <v>1249</v>
      </c>
      <c r="B195" s="32">
        <v>44562</v>
      </c>
      <c r="C195" s="31"/>
      <c r="D195" s="31" t="s">
        <v>13</v>
      </c>
      <c r="E195" s="15">
        <v>309.3</v>
      </c>
    </row>
    <row r="196" spans="1:5" x14ac:dyDescent="0.25">
      <c r="A196" s="31" t="s">
        <v>1250</v>
      </c>
      <c r="B196" s="32">
        <v>44562</v>
      </c>
      <c r="C196" s="31"/>
      <c r="D196" s="31" t="s">
        <v>13</v>
      </c>
      <c r="E196" s="15">
        <v>269.3</v>
      </c>
    </row>
    <row r="197" spans="1:5" x14ac:dyDescent="0.25">
      <c r="A197" s="31" t="s">
        <v>1251</v>
      </c>
      <c r="B197" s="32">
        <v>44562</v>
      </c>
      <c r="C197" s="31"/>
      <c r="D197" s="31" t="s">
        <v>13</v>
      </c>
      <c r="E197" s="15">
        <v>329.3</v>
      </c>
    </row>
    <row r="198" spans="1:5" x14ac:dyDescent="0.25">
      <c r="A198" s="31" t="s">
        <v>1252</v>
      </c>
      <c r="B198" s="32">
        <v>44562</v>
      </c>
      <c r="C198" s="31"/>
      <c r="D198" s="31" t="s">
        <v>13</v>
      </c>
      <c r="E198" s="15">
        <v>329.3</v>
      </c>
    </row>
    <row r="199" spans="1:5" x14ac:dyDescent="0.25">
      <c r="A199" s="31" t="s">
        <v>1253</v>
      </c>
      <c r="B199" s="32">
        <v>44562</v>
      </c>
      <c r="C199" s="31"/>
      <c r="D199" s="31" t="s">
        <v>13</v>
      </c>
      <c r="E199" s="15">
        <v>369.3</v>
      </c>
    </row>
    <row r="200" spans="1:5" x14ac:dyDescent="0.25">
      <c r="A200" s="31" t="s">
        <v>1254</v>
      </c>
      <c r="B200" s="32">
        <v>44562</v>
      </c>
      <c r="C200" s="31"/>
      <c r="D200" s="31" t="s">
        <v>13</v>
      </c>
      <c r="E200" s="15">
        <v>369.3</v>
      </c>
    </row>
    <row r="201" spans="1:5" x14ac:dyDescent="0.25">
      <c r="A201" s="31" t="s">
        <v>1255</v>
      </c>
      <c r="B201" s="32">
        <v>44562</v>
      </c>
      <c r="C201" s="31"/>
      <c r="D201" s="31" t="s">
        <v>13</v>
      </c>
      <c r="E201" s="15">
        <v>369.3</v>
      </c>
    </row>
    <row r="202" spans="1:5" x14ac:dyDescent="0.25">
      <c r="A202" s="31" t="s">
        <v>1256</v>
      </c>
      <c r="B202" s="32">
        <v>44562</v>
      </c>
      <c r="C202" s="31"/>
      <c r="D202" s="31" t="s">
        <v>13</v>
      </c>
      <c r="E202" s="15">
        <v>309.3</v>
      </c>
    </row>
    <row r="203" spans="1:5" x14ac:dyDescent="0.25">
      <c r="A203" s="31" t="s">
        <v>1257</v>
      </c>
      <c r="B203" s="32">
        <v>44562</v>
      </c>
      <c r="C203" s="31"/>
      <c r="D203" s="31" t="s">
        <v>13</v>
      </c>
      <c r="E203" s="15">
        <v>369.3</v>
      </c>
    </row>
    <row r="204" spans="1:5" x14ac:dyDescent="0.25">
      <c r="A204" s="31" t="s">
        <v>1258</v>
      </c>
      <c r="B204" s="32">
        <v>44562</v>
      </c>
      <c r="C204" s="31"/>
      <c r="D204" s="31" t="s">
        <v>13</v>
      </c>
      <c r="E204" s="15">
        <v>309.3</v>
      </c>
    </row>
    <row r="205" spans="1:5" x14ac:dyDescent="0.25">
      <c r="A205" s="31" t="s">
        <v>1259</v>
      </c>
      <c r="B205" s="32">
        <v>44562</v>
      </c>
      <c r="C205" s="31"/>
      <c r="D205" s="31" t="s">
        <v>13</v>
      </c>
      <c r="E205" s="15">
        <v>469.3</v>
      </c>
    </row>
    <row r="206" spans="1:5" x14ac:dyDescent="0.25">
      <c r="A206" s="31" t="s">
        <v>1260</v>
      </c>
      <c r="B206" s="32">
        <v>44562</v>
      </c>
      <c r="C206" s="31"/>
      <c r="D206" s="31" t="s">
        <v>13</v>
      </c>
      <c r="E206" s="15">
        <v>429.3</v>
      </c>
    </row>
    <row r="207" spans="1:5" x14ac:dyDescent="0.25">
      <c r="A207" s="31" t="s">
        <v>1261</v>
      </c>
      <c r="B207" s="32">
        <v>44562</v>
      </c>
      <c r="C207" s="31"/>
      <c r="D207" s="31" t="s">
        <v>13</v>
      </c>
      <c r="E207" s="15">
        <v>529.29999999999995</v>
      </c>
    </row>
    <row r="208" spans="1:5" x14ac:dyDescent="0.25">
      <c r="A208" s="31" t="s">
        <v>1262</v>
      </c>
      <c r="B208" s="32">
        <v>44562</v>
      </c>
      <c r="C208" s="31"/>
      <c r="D208" s="31" t="s">
        <v>13</v>
      </c>
      <c r="E208" s="15">
        <v>529.29999999999995</v>
      </c>
    </row>
    <row r="209" spans="1:5" x14ac:dyDescent="0.25">
      <c r="A209" s="31" t="s">
        <v>1263</v>
      </c>
      <c r="B209" s="32">
        <v>44562</v>
      </c>
      <c r="C209" s="31"/>
      <c r="D209" s="31" t="s">
        <v>13</v>
      </c>
      <c r="E209" s="15">
        <v>469.3</v>
      </c>
    </row>
    <row r="210" spans="1:5" x14ac:dyDescent="0.25">
      <c r="A210" s="31" t="s">
        <v>1264</v>
      </c>
      <c r="B210" s="32">
        <v>44562</v>
      </c>
      <c r="C210" s="31"/>
      <c r="D210" s="31" t="s">
        <v>13</v>
      </c>
      <c r="E210" s="15">
        <v>329.3</v>
      </c>
    </row>
    <row r="211" spans="1:5" x14ac:dyDescent="0.25">
      <c r="A211" s="31" t="s">
        <v>1265</v>
      </c>
      <c r="B211" s="32">
        <v>44562</v>
      </c>
      <c r="C211" s="31"/>
      <c r="D211" s="31" t="s">
        <v>13</v>
      </c>
      <c r="E211" s="15">
        <v>469.3</v>
      </c>
    </row>
    <row r="212" spans="1:5" x14ac:dyDescent="0.25">
      <c r="A212" s="31" t="s">
        <v>1266</v>
      </c>
      <c r="B212" s="32">
        <v>44562</v>
      </c>
      <c r="C212" s="31"/>
      <c r="D212" s="31" t="s">
        <v>13</v>
      </c>
      <c r="E212" s="15">
        <v>329.3</v>
      </c>
    </row>
    <row r="213" spans="1:5" x14ac:dyDescent="0.25">
      <c r="A213" s="31" t="s">
        <v>1267</v>
      </c>
      <c r="B213" s="32">
        <v>44562</v>
      </c>
      <c r="C213" s="31"/>
      <c r="D213" s="31" t="s">
        <v>13</v>
      </c>
      <c r="E213" s="15">
        <v>529.29999999999995</v>
      </c>
    </row>
    <row r="214" spans="1:5" x14ac:dyDescent="0.25">
      <c r="A214" s="31" t="s">
        <v>1268</v>
      </c>
      <c r="B214" s="32">
        <v>44562</v>
      </c>
      <c r="C214" s="31"/>
      <c r="D214" s="31" t="s">
        <v>13</v>
      </c>
      <c r="E214" s="15">
        <v>529.29999999999995</v>
      </c>
    </row>
    <row r="215" spans="1:5" x14ac:dyDescent="0.25">
      <c r="A215" s="31" t="s">
        <v>1269</v>
      </c>
      <c r="B215" s="32">
        <v>44562</v>
      </c>
      <c r="C215" s="31"/>
      <c r="D215" s="31" t="s">
        <v>13</v>
      </c>
      <c r="E215" s="15">
        <v>389.3</v>
      </c>
    </row>
    <row r="216" spans="1:5" x14ac:dyDescent="0.25">
      <c r="A216" s="31" t="s">
        <v>1270</v>
      </c>
      <c r="B216" s="32">
        <v>44562</v>
      </c>
      <c r="C216" s="31"/>
      <c r="D216" s="31" t="s">
        <v>13</v>
      </c>
      <c r="E216" s="15">
        <v>469.3</v>
      </c>
    </row>
    <row r="217" spans="1:5" x14ac:dyDescent="0.25">
      <c r="A217" s="31" t="s">
        <v>1271</v>
      </c>
      <c r="B217" s="32">
        <v>44562</v>
      </c>
      <c r="C217" s="31"/>
      <c r="D217" s="31" t="s">
        <v>13</v>
      </c>
      <c r="E217" s="15">
        <v>309.3</v>
      </c>
    </row>
    <row r="218" spans="1:5" x14ac:dyDescent="0.25">
      <c r="A218" s="31" t="s">
        <v>1272</v>
      </c>
      <c r="B218" s="32">
        <v>44562</v>
      </c>
      <c r="C218" s="31"/>
      <c r="D218" s="31" t="s">
        <v>13</v>
      </c>
      <c r="E218" s="15">
        <v>2960.54</v>
      </c>
    </row>
    <row r="219" spans="1:5" x14ac:dyDescent="0.25">
      <c r="A219" s="31" t="s">
        <v>1273</v>
      </c>
      <c r="B219" s="32">
        <v>44562</v>
      </c>
      <c r="C219" s="31"/>
      <c r="D219" s="31" t="s">
        <v>13</v>
      </c>
      <c r="E219" s="15">
        <v>2803.58</v>
      </c>
    </row>
    <row r="220" spans="1:5" x14ac:dyDescent="0.25">
      <c r="A220" s="31" t="s">
        <v>1274</v>
      </c>
      <c r="B220" s="32">
        <v>44562</v>
      </c>
      <c r="C220" s="31"/>
      <c r="D220" s="31" t="s">
        <v>13</v>
      </c>
      <c r="E220" s="15">
        <v>5096.46</v>
      </c>
    </row>
    <row r="221" spans="1:5" x14ac:dyDescent="0.25">
      <c r="A221" s="31" t="s">
        <v>1275</v>
      </c>
      <c r="B221" s="32">
        <v>44562</v>
      </c>
      <c r="C221" s="31"/>
      <c r="D221" s="31" t="s">
        <v>13</v>
      </c>
      <c r="E221" s="15">
        <v>1267.9000000000001</v>
      </c>
    </row>
    <row r="222" spans="1:5" x14ac:dyDescent="0.25">
      <c r="A222" s="31" t="s">
        <v>1276</v>
      </c>
      <c r="B222" s="32">
        <v>44562</v>
      </c>
      <c r="C222" s="31"/>
      <c r="D222" s="31" t="s">
        <v>13</v>
      </c>
      <c r="E222" s="15">
        <v>329.3</v>
      </c>
    </row>
    <row r="223" spans="1:5" x14ac:dyDescent="0.25">
      <c r="A223" s="31" t="s">
        <v>1277</v>
      </c>
      <c r="B223" s="32">
        <v>44562</v>
      </c>
      <c r="C223" s="31"/>
      <c r="D223" s="31" t="s">
        <v>13</v>
      </c>
      <c r="E223" s="15">
        <v>329.3</v>
      </c>
    </row>
    <row r="224" spans="1:5" x14ac:dyDescent="0.25">
      <c r="A224" s="31" t="s">
        <v>1278</v>
      </c>
      <c r="B224" s="32">
        <v>44562</v>
      </c>
      <c r="C224" s="31"/>
      <c r="D224" s="31" t="s">
        <v>13</v>
      </c>
      <c r="E224" s="15">
        <v>329.3</v>
      </c>
    </row>
    <row r="225" spans="1:5" x14ac:dyDescent="0.25">
      <c r="A225" s="31" t="s">
        <v>1279</v>
      </c>
      <c r="B225" s="32">
        <v>44562</v>
      </c>
      <c r="C225" s="31"/>
      <c r="D225" s="31" t="s">
        <v>13</v>
      </c>
      <c r="E225" s="15">
        <v>329.3</v>
      </c>
    </row>
    <row r="226" spans="1:5" x14ac:dyDescent="0.25">
      <c r="A226" s="31" t="s">
        <v>1280</v>
      </c>
      <c r="B226" s="32">
        <v>44562</v>
      </c>
      <c r="C226" s="31"/>
      <c r="D226" s="31" t="s">
        <v>13</v>
      </c>
      <c r="E226" s="15">
        <v>1468.75</v>
      </c>
    </row>
    <row r="227" spans="1:5" x14ac:dyDescent="0.25">
      <c r="A227" s="31" t="s">
        <v>1281</v>
      </c>
      <c r="B227" s="32">
        <v>44562</v>
      </c>
      <c r="C227" s="31"/>
      <c r="D227" s="31" t="s">
        <v>13</v>
      </c>
      <c r="E227" s="15">
        <v>901.31999999999994</v>
      </c>
    </row>
    <row r="228" spans="1:5" x14ac:dyDescent="0.25">
      <c r="A228" s="31" t="s">
        <v>1282</v>
      </c>
      <c r="B228" s="32">
        <v>44562</v>
      </c>
      <c r="C228" s="31"/>
      <c r="D228" s="31" t="s">
        <v>13</v>
      </c>
      <c r="E228" s="15">
        <v>3088.85</v>
      </c>
    </row>
    <row r="229" spans="1:5" x14ac:dyDescent="0.25">
      <c r="A229" s="31" t="s">
        <v>1283</v>
      </c>
      <c r="B229" s="32">
        <v>44562</v>
      </c>
      <c r="C229" s="31"/>
      <c r="D229" s="31" t="s">
        <v>13</v>
      </c>
      <c r="E229" s="15">
        <v>329.3</v>
      </c>
    </row>
    <row r="230" spans="1:5" x14ac:dyDescent="0.25">
      <c r="A230" s="31" t="s">
        <v>1284</v>
      </c>
      <c r="B230" s="32">
        <v>44562</v>
      </c>
      <c r="C230" s="31"/>
      <c r="D230" s="31" t="s">
        <v>13</v>
      </c>
      <c r="E230" s="15">
        <v>329.3</v>
      </c>
    </row>
    <row r="231" spans="1:5" x14ac:dyDescent="0.25">
      <c r="A231" s="31" t="s">
        <v>1285</v>
      </c>
      <c r="B231" s="32">
        <v>44562</v>
      </c>
      <c r="C231" s="31"/>
      <c r="D231" s="31" t="s">
        <v>13</v>
      </c>
      <c r="E231" s="15">
        <v>329.3</v>
      </c>
    </row>
    <row r="232" spans="1:5" x14ac:dyDescent="0.25">
      <c r="A232" s="31" t="s">
        <v>1286</v>
      </c>
      <c r="B232" s="32">
        <v>44562</v>
      </c>
      <c r="C232" s="31"/>
      <c r="D232" s="31" t="s">
        <v>13</v>
      </c>
      <c r="E232" s="15">
        <v>329.3</v>
      </c>
    </row>
    <row r="233" spans="1:5" x14ac:dyDescent="0.25">
      <c r="A233" s="31" t="s">
        <v>1287</v>
      </c>
      <c r="B233" s="32">
        <v>44562</v>
      </c>
      <c r="C233" s="31"/>
      <c r="D233" s="31" t="s">
        <v>13</v>
      </c>
      <c r="E233" s="15">
        <v>1257.2</v>
      </c>
    </row>
    <row r="234" spans="1:5" x14ac:dyDescent="0.25">
      <c r="A234" s="31" t="s">
        <v>1288</v>
      </c>
      <c r="B234" s="32">
        <v>44562</v>
      </c>
      <c r="C234" s="31"/>
      <c r="D234" s="31" t="s">
        <v>13</v>
      </c>
      <c r="E234" s="15">
        <v>2080.42</v>
      </c>
    </row>
    <row r="235" spans="1:5" x14ac:dyDescent="0.25">
      <c r="A235" s="31" t="s">
        <v>1289</v>
      </c>
      <c r="B235" s="32">
        <v>44562</v>
      </c>
      <c r="C235" s="31"/>
      <c r="D235" s="31" t="s">
        <v>13</v>
      </c>
      <c r="E235" s="15">
        <v>1267.9000000000001</v>
      </c>
    </row>
    <row r="236" spans="1:5" x14ac:dyDescent="0.25">
      <c r="A236" s="31" t="s">
        <v>1290</v>
      </c>
      <c r="B236" s="32">
        <v>44562</v>
      </c>
      <c r="C236" s="31"/>
      <c r="D236" s="31" t="s">
        <v>13</v>
      </c>
      <c r="E236" s="15">
        <v>234.1</v>
      </c>
    </row>
    <row r="237" spans="1:5" x14ac:dyDescent="0.25">
      <c r="A237" s="31" t="s">
        <v>1291</v>
      </c>
      <c r="B237" s="32">
        <v>44562</v>
      </c>
      <c r="C237" s="31"/>
      <c r="D237" s="31" t="s">
        <v>13</v>
      </c>
      <c r="E237" s="15">
        <v>471.74</v>
      </c>
    </row>
    <row r="238" spans="1:5" x14ac:dyDescent="0.25">
      <c r="A238" s="31" t="s">
        <v>1292</v>
      </c>
      <c r="B238" s="32">
        <v>44562</v>
      </c>
      <c r="C238" s="31"/>
      <c r="D238" s="31" t="s">
        <v>13</v>
      </c>
      <c r="E238" s="15">
        <v>603.4</v>
      </c>
    </row>
    <row r="239" spans="1:5" x14ac:dyDescent="0.25">
      <c r="A239" s="31" t="s">
        <v>1293</v>
      </c>
      <c r="B239" s="32">
        <v>44562</v>
      </c>
      <c r="C239" s="31"/>
      <c r="D239" s="31" t="s">
        <v>13</v>
      </c>
      <c r="E239" s="15">
        <v>303.39999999999998</v>
      </c>
    </row>
    <row r="240" spans="1:5" x14ac:dyDescent="0.25">
      <c r="A240" s="31" t="s">
        <v>1294</v>
      </c>
      <c r="B240" s="32">
        <v>44562</v>
      </c>
      <c r="C240" s="31"/>
      <c r="D240" s="31" t="s">
        <v>13</v>
      </c>
      <c r="E240" s="15">
        <v>303.39999999999998</v>
      </c>
    </row>
    <row r="241" spans="1:5" x14ac:dyDescent="0.25">
      <c r="A241" s="31" t="s">
        <v>1295</v>
      </c>
      <c r="B241" s="32">
        <v>44562</v>
      </c>
      <c r="C241" s="31"/>
      <c r="D241" s="31" t="s">
        <v>13</v>
      </c>
      <c r="E241" s="15">
        <v>309.3</v>
      </c>
    </row>
    <row r="242" spans="1:5" x14ac:dyDescent="0.25">
      <c r="A242" s="31" t="s">
        <v>1296</v>
      </c>
      <c r="B242" s="32">
        <v>44562</v>
      </c>
      <c r="C242" s="31"/>
      <c r="D242" s="31" t="s">
        <v>13</v>
      </c>
      <c r="E242" s="15">
        <v>309.3</v>
      </c>
    </row>
    <row r="243" spans="1:5" x14ac:dyDescent="0.25">
      <c r="A243" s="31" t="s">
        <v>1297</v>
      </c>
      <c r="B243" s="32">
        <v>44562</v>
      </c>
      <c r="C243" s="31"/>
      <c r="D243" s="31" t="s">
        <v>13</v>
      </c>
      <c r="E243" s="15">
        <v>309.3</v>
      </c>
    </row>
    <row r="244" spans="1:5" x14ac:dyDescent="0.25">
      <c r="A244" s="31" t="s">
        <v>1298</v>
      </c>
      <c r="B244" s="32">
        <v>44562</v>
      </c>
      <c r="C244" s="31"/>
      <c r="D244" s="31" t="s">
        <v>13</v>
      </c>
      <c r="E244" s="15">
        <v>309.3</v>
      </c>
    </row>
    <row r="245" spans="1:5" x14ac:dyDescent="0.25">
      <c r="A245" s="31" t="s">
        <v>1299</v>
      </c>
      <c r="B245" s="32">
        <v>44562</v>
      </c>
      <c r="C245" s="31"/>
      <c r="D245" s="31" t="s">
        <v>13</v>
      </c>
      <c r="E245" s="15">
        <v>360</v>
      </c>
    </row>
    <row r="246" spans="1:5" x14ac:dyDescent="0.25">
      <c r="A246" s="31" t="s">
        <v>1300</v>
      </c>
      <c r="B246" s="32">
        <v>44562</v>
      </c>
      <c r="C246" s="31"/>
      <c r="D246" s="31" t="s">
        <v>13</v>
      </c>
      <c r="E246" s="15">
        <v>360</v>
      </c>
    </row>
    <row r="247" spans="1:5" x14ac:dyDescent="0.25">
      <c r="A247" s="31" t="s">
        <v>1301</v>
      </c>
      <c r="B247" s="32">
        <v>44562</v>
      </c>
      <c r="C247" s="31"/>
      <c r="D247" s="31" t="s">
        <v>13</v>
      </c>
      <c r="E247" s="15">
        <v>376.7</v>
      </c>
    </row>
    <row r="248" spans="1:5" x14ac:dyDescent="0.25">
      <c r="A248" s="31" t="s">
        <v>1302</v>
      </c>
      <c r="B248" s="32">
        <v>44562</v>
      </c>
      <c r="C248" s="31"/>
      <c r="D248" s="31" t="s">
        <v>13</v>
      </c>
      <c r="E248" s="15">
        <v>360</v>
      </c>
    </row>
    <row r="249" spans="1:5" x14ac:dyDescent="0.25">
      <c r="A249" s="31" t="s">
        <v>1303</v>
      </c>
      <c r="B249" s="32">
        <v>44562</v>
      </c>
      <c r="C249" s="31"/>
      <c r="D249" s="31" t="s">
        <v>13</v>
      </c>
      <c r="E249" s="15">
        <v>360</v>
      </c>
    </row>
    <row r="250" spans="1:5" x14ac:dyDescent="0.25">
      <c r="A250" s="31" t="s">
        <v>1304</v>
      </c>
      <c r="B250" s="32">
        <v>44562</v>
      </c>
      <c r="C250" s="31"/>
      <c r="D250" s="31" t="s">
        <v>13</v>
      </c>
      <c r="E250" s="15">
        <v>360</v>
      </c>
    </row>
    <row r="251" spans="1:5" x14ac:dyDescent="0.25">
      <c r="A251" s="31" t="s">
        <v>1305</v>
      </c>
      <c r="B251" s="32">
        <v>44562</v>
      </c>
      <c r="C251" s="31"/>
      <c r="D251" s="31" t="s">
        <v>13</v>
      </c>
      <c r="E251" s="15">
        <v>360</v>
      </c>
    </row>
    <row r="252" spans="1:5" x14ac:dyDescent="0.25">
      <c r="A252" s="31" t="s">
        <v>1306</v>
      </c>
      <c r="B252" s="32">
        <v>44562</v>
      </c>
      <c r="C252" s="31"/>
      <c r="D252" s="31" t="s">
        <v>13</v>
      </c>
      <c r="E252" s="15">
        <v>360</v>
      </c>
    </row>
    <row r="253" spans="1:5" x14ac:dyDescent="0.25">
      <c r="A253" s="31" t="s">
        <v>1307</v>
      </c>
      <c r="B253" s="32">
        <v>44562</v>
      </c>
      <c r="C253" s="31"/>
      <c r="D253" s="31" t="s">
        <v>13</v>
      </c>
      <c r="E253" s="15">
        <v>360</v>
      </c>
    </row>
    <row r="254" spans="1:5" x14ac:dyDescent="0.25">
      <c r="A254" s="31" t="s">
        <v>1308</v>
      </c>
      <c r="B254" s="32">
        <v>44562</v>
      </c>
      <c r="C254" s="31"/>
      <c r="D254" s="31" t="s">
        <v>13</v>
      </c>
      <c r="E254" s="15">
        <v>360</v>
      </c>
    </row>
    <row r="255" spans="1:5" x14ac:dyDescent="0.25">
      <c r="A255" s="31" t="s">
        <v>1309</v>
      </c>
      <c r="B255" s="32">
        <v>44562</v>
      </c>
      <c r="C255" s="31"/>
      <c r="D255" s="31" t="s">
        <v>13</v>
      </c>
      <c r="E255" s="15">
        <v>360</v>
      </c>
    </row>
    <row r="256" spans="1:5" x14ac:dyDescent="0.25">
      <c r="A256" s="31" t="s">
        <v>1310</v>
      </c>
      <c r="B256" s="32">
        <v>44562</v>
      </c>
      <c r="C256" s="31"/>
      <c r="D256" s="31" t="s">
        <v>13</v>
      </c>
      <c r="E256" s="15">
        <v>360</v>
      </c>
    </row>
    <row r="257" spans="1:5" x14ac:dyDescent="0.25">
      <c r="A257" s="31" t="s">
        <v>1311</v>
      </c>
      <c r="B257" s="32">
        <v>44562</v>
      </c>
      <c r="C257" s="31"/>
      <c r="D257" s="31" t="s">
        <v>13</v>
      </c>
      <c r="E257" s="15">
        <v>360</v>
      </c>
    </row>
    <row r="258" spans="1:5" x14ac:dyDescent="0.25">
      <c r="A258" s="31" t="s">
        <v>1312</v>
      </c>
      <c r="B258" s="32">
        <v>44562</v>
      </c>
      <c r="C258" s="31"/>
      <c r="D258" s="31" t="s">
        <v>13</v>
      </c>
      <c r="E258" s="15">
        <v>290</v>
      </c>
    </row>
    <row r="259" spans="1:5" x14ac:dyDescent="0.25">
      <c r="A259" s="31" t="s">
        <v>1313</v>
      </c>
      <c r="B259" s="32">
        <v>44562</v>
      </c>
      <c r="C259" s="31"/>
      <c r="D259" s="31" t="s">
        <v>13</v>
      </c>
      <c r="E259" s="15">
        <v>290</v>
      </c>
    </row>
    <row r="260" spans="1:5" x14ac:dyDescent="0.25">
      <c r="A260" s="31" t="s">
        <v>1314</v>
      </c>
      <c r="B260" s="32">
        <v>44562</v>
      </c>
      <c r="C260" s="31"/>
      <c r="D260" s="31" t="s">
        <v>13</v>
      </c>
      <c r="E260" s="15">
        <v>330.4</v>
      </c>
    </row>
    <row r="261" spans="1:5" x14ac:dyDescent="0.25">
      <c r="A261" s="31" t="s">
        <v>1315</v>
      </c>
      <c r="B261" s="32">
        <v>44562</v>
      </c>
      <c r="C261" s="31"/>
      <c r="D261" s="31" t="s">
        <v>13</v>
      </c>
      <c r="E261" s="15">
        <v>330.4</v>
      </c>
    </row>
    <row r="262" spans="1:5" x14ac:dyDescent="0.25">
      <c r="A262" s="31" t="s">
        <v>1316</v>
      </c>
      <c r="B262" s="32">
        <v>44562</v>
      </c>
      <c r="C262" s="31"/>
      <c r="D262" s="31" t="s">
        <v>13</v>
      </c>
      <c r="E262" s="15">
        <v>343.2</v>
      </c>
    </row>
    <row r="263" spans="1:5" x14ac:dyDescent="0.25">
      <c r="A263" s="31" t="s">
        <v>1317</v>
      </c>
      <c r="B263" s="32">
        <v>44562</v>
      </c>
      <c r="C263" s="31"/>
      <c r="D263" s="31" t="s">
        <v>13</v>
      </c>
      <c r="E263" s="15">
        <v>323.2</v>
      </c>
    </row>
    <row r="264" spans="1:5" x14ac:dyDescent="0.25">
      <c r="A264" s="31" t="s">
        <v>1318</v>
      </c>
      <c r="B264" s="32">
        <v>44562</v>
      </c>
      <c r="C264" s="31"/>
      <c r="D264" s="31" t="s">
        <v>13</v>
      </c>
      <c r="E264" s="15">
        <v>352</v>
      </c>
    </row>
    <row r="265" spans="1:5" x14ac:dyDescent="0.25">
      <c r="A265" s="31" t="s">
        <v>1319</v>
      </c>
      <c r="B265" s="32">
        <v>44562</v>
      </c>
      <c r="C265" s="31"/>
      <c r="D265" s="31" t="s">
        <v>13</v>
      </c>
      <c r="E265" s="15">
        <v>352</v>
      </c>
    </row>
    <row r="266" spans="1:5" x14ac:dyDescent="0.25">
      <c r="A266" s="31" t="s">
        <v>1320</v>
      </c>
      <c r="B266" s="32">
        <v>44562</v>
      </c>
      <c r="C266" s="31"/>
      <c r="D266" s="31" t="s">
        <v>13</v>
      </c>
      <c r="E266" s="15">
        <v>340</v>
      </c>
    </row>
    <row r="267" spans="1:5" x14ac:dyDescent="0.25">
      <c r="A267" s="31" t="s">
        <v>1321</v>
      </c>
      <c r="B267" s="32">
        <v>44562</v>
      </c>
      <c r="C267" s="31"/>
      <c r="D267" s="31" t="s">
        <v>13</v>
      </c>
      <c r="E267" s="15">
        <v>340</v>
      </c>
    </row>
    <row r="268" spans="1:5" x14ac:dyDescent="0.25">
      <c r="A268" s="31" t="s">
        <v>1322</v>
      </c>
      <c r="B268" s="32">
        <v>44562</v>
      </c>
      <c r="C268" s="31"/>
      <c r="D268" s="31" t="s">
        <v>13</v>
      </c>
      <c r="E268" s="15">
        <v>330</v>
      </c>
    </row>
    <row r="269" spans="1:5" x14ac:dyDescent="0.25">
      <c r="A269" s="31" t="s">
        <v>1323</v>
      </c>
      <c r="B269" s="32">
        <v>44562</v>
      </c>
      <c r="C269" s="31"/>
      <c r="D269" s="31" t="s">
        <v>13</v>
      </c>
      <c r="E269" s="15">
        <v>330</v>
      </c>
    </row>
    <row r="270" spans="1:5" x14ac:dyDescent="0.25">
      <c r="A270" s="31" t="s">
        <v>1324</v>
      </c>
      <c r="B270" s="32">
        <v>44562</v>
      </c>
      <c r="C270" s="31"/>
      <c r="D270" s="31" t="s">
        <v>13</v>
      </c>
      <c r="E270" s="15">
        <v>330</v>
      </c>
    </row>
    <row r="271" spans="1:5" x14ac:dyDescent="0.25">
      <c r="A271" s="31" t="s">
        <v>1325</v>
      </c>
      <c r="B271" s="32">
        <v>44562</v>
      </c>
      <c r="C271" s="31"/>
      <c r="D271" s="31" t="s">
        <v>13</v>
      </c>
      <c r="E271" s="15">
        <v>330</v>
      </c>
    </row>
    <row r="272" spans="1:5" x14ac:dyDescent="0.25">
      <c r="A272" s="31" t="s">
        <v>1326</v>
      </c>
      <c r="B272" s="32">
        <v>44562</v>
      </c>
      <c r="C272" s="31"/>
      <c r="D272" s="31" t="s">
        <v>13</v>
      </c>
      <c r="E272" s="15">
        <v>330</v>
      </c>
    </row>
    <row r="273" spans="1:5" x14ac:dyDescent="0.25">
      <c r="A273" s="31" t="s">
        <v>1327</v>
      </c>
      <c r="B273" s="32">
        <v>44562</v>
      </c>
      <c r="C273" s="31"/>
      <c r="D273" s="31" t="s">
        <v>13</v>
      </c>
      <c r="E273" s="15">
        <v>330</v>
      </c>
    </row>
    <row r="274" spans="1:5" x14ac:dyDescent="0.25">
      <c r="A274" s="31" t="s">
        <v>1328</v>
      </c>
      <c r="B274" s="32">
        <v>44562</v>
      </c>
      <c r="C274" s="31"/>
      <c r="D274" s="31" t="s">
        <v>13</v>
      </c>
      <c r="E274" s="15">
        <v>330</v>
      </c>
    </row>
    <row r="275" spans="1:5" x14ac:dyDescent="0.25">
      <c r="A275" s="31" t="s">
        <v>1329</v>
      </c>
      <c r="B275" s="32">
        <v>44562</v>
      </c>
      <c r="C275" s="31"/>
      <c r="D275" s="31" t="s">
        <v>13</v>
      </c>
      <c r="E275" s="15">
        <v>330</v>
      </c>
    </row>
    <row r="276" spans="1:5" x14ac:dyDescent="0.25">
      <c r="A276" s="31" t="s">
        <v>1330</v>
      </c>
      <c r="B276" s="32">
        <v>44562</v>
      </c>
      <c r="C276" s="31"/>
      <c r="D276" s="31" t="s">
        <v>13</v>
      </c>
      <c r="E276" s="15">
        <v>340</v>
      </c>
    </row>
    <row r="277" spans="1:5" x14ac:dyDescent="0.25">
      <c r="A277" s="31" t="s">
        <v>1331</v>
      </c>
      <c r="B277" s="32">
        <v>44562</v>
      </c>
      <c r="C277" s="31"/>
      <c r="D277" s="31" t="s">
        <v>13</v>
      </c>
      <c r="E277" s="15">
        <v>340</v>
      </c>
    </row>
    <row r="278" spans="1:5" x14ac:dyDescent="0.25">
      <c r="A278" s="31" t="s">
        <v>1332</v>
      </c>
      <c r="B278" s="32">
        <v>44562</v>
      </c>
      <c r="C278" s="31"/>
      <c r="D278" s="31" t="s">
        <v>13</v>
      </c>
      <c r="E278" s="15">
        <v>340</v>
      </c>
    </row>
    <row r="279" spans="1:5" x14ac:dyDescent="0.25">
      <c r="A279" s="31" t="s">
        <v>1333</v>
      </c>
      <c r="B279" s="32">
        <v>44562</v>
      </c>
      <c r="C279" s="31"/>
      <c r="D279" s="31" t="s">
        <v>13</v>
      </c>
      <c r="E279" s="15">
        <v>340</v>
      </c>
    </row>
    <row r="280" spans="1:5" x14ac:dyDescent="0.25">
      <c r="A280" s="31" t="s">
        <v>1334</v>
      </c>
      <c r="B280" s="32">
        <v>44562</v>
      </c>
      <c r="C280" s="31"/>
      <c r="D280" s="31" t="s">
        <v>13</v>
      </c>
      <c r="E280" s="15">
        <v>337.14</v>
      </c>
    </row>
    <row r="281" spans="1:5" x14ac:dyDescent="0.25">
      <c r="A281" s="31" t="s">
        <v>1335</v>
      </c>
      <c r="B281" s="32">
        <v>44562</v>
      </c>
      <c r="C281" s="31"/>
      <c r="D281" s="31" t="s">
        <v>13</v>
      </c>
      <c r="E281" s="15">
        <v>337.14</v>
      </c>
    </row>
    <row r="282" spans="1:5" x14ac:dyDescent="0.25">
      <c r="A282" s="31" t="s">
        <v>1336</v>
      </c>
      <c r="B282" s="32">
        <v>44562</v>
      </c>
      <c r="C282" s="31"/>
      <c r="D282" s="31" t="s">
        <v>13</v>
      </c>
      <c r="E282" s="15">
        <v>330</v>
      </c>
    </row>
    <row r="283" spans="1:5" x14ac:dyDescent="0.25">
      <c r="A283" s="31" t="s">
        <v>1337</v>
      </c>
      <c r="B283" s="32">
        <v>44562</v>
      </c>
      <c r="C283" s="31"/>
      <c r="D283" s="31" t="s">
        <v>13</v>
      </c>
      <c r="E283" s="15">
        <v>330</v>
      </c>
    </row>
    <row r="284" spans="1:5" x14ac:dyDescent="0.25">
      <c r="A284" s="31" t="s">
        <v>1338</v>
      </c>
      <c r="B284" s="32">
        <v>44562</v>
      </c>
      <c r="C284" s="31"/>
      <c r="D284" s="31" t="s">
        <v>13</v>
      </c>
      <c r="E284" s="15">
        <v>373</v>
      </c>
    </row>
    <row r="285" spans="1:5" x14ac:dyDescent="0.25">
      <c r="A285" s="31" t="s">
        <v>1339</v>
      </c>
      <c r="B285" s="32">
        <v>44562</v>
      </c>
      <c r="C285" s="31"/>
      <c r="D285" s="31" t="s">
        <v>13</v>
      </c>
      <c r="E285" s="15">
        <v>373</v>
      </c>
    </row>
    <row r="286" spans="1:5" x14ac:dyDescent="0.25">
      <c r="A286" s="31" t="s">
        <v>1340</v>
      </c>
      <c r="B286" s="32">
        <v>44562</v>
      </c>
      <c r="C286" s="31"/>
      <c r="D286" s="31" t="s">
        <v>13</v>
      </c>
      <c r="E286" s="15">
        <v>373</v>
      </c>
    </row>
    <row r="287" spans="1:5" x14ac:dyDescent="0.25">
      <c r="A287" s="31" t="s">
        <v>1341</v>
      </c>
      <c r="B287" s="32">
        <v>44562</v>
      </c>
      <c r="C287" s="31"/>
      <c r="D287" s="31" t="s">
        <v>13</v>
      </c>
      <c r="E287" s="15">
        <v>373</v>
      </c>
    </row>
    <row r="288" spans="1:5" x14ac:dyDescent="0.25">
      <c r="A288" s="31" t="s">
        <v>1342</v>
      </c>
      <c r="B288" s="32">
        <v>44562</v>
      </c>
      <c r="C288" s="31"/>
      <c r="D288" s="31" t="s">
        <v>13</v>
      </c>
      <c r="E288" s="15">
        <v>366.75</v>
      </c>
    </row>
    <row r="289" spans="1:5" x14ac:dyDescent="0.25">
      <c r="A289" s="31" t="s">
        <v>1343</v>
      </c>
      <c r="B289" s="32">
        <v>44562</v>
      </c>
      <c r="C289" s="31"/>
      <c r="D289" s="31" t="s">
        <v>13</v>
      </c>
      <c r="E289" s="15">
        <v>366.75</v>
      </c>
    </row>
    <row r="290" spans="1:5" x14ac:dyDescent="0.25">
      <c r="A290" s="31" t="s">
        <v>1344</v>
      </c>
      <c r="B290" s="32">
        <v>44562</v>
      </c>
      <c r="C290" s="31"/>
      <c r="D290" s="31" t="s">
        <v>13</v>
      </c>
      <c r="E290" s="15">
        <v>330</v>
      </c>
    </row>
    <row r="291" spans="1:5" x14ac:dyDescent="0.25">
      <c r="A291" s="31" t="s">
        <v>1345</v>
      </c>
      <c r="B291" s="32">
        <v>44562</v>
      </c>
      <c r="C291" s="31"/>
      <c r="D291" s="31" t="s">
        <v>13</v>
      </c>
      <c r="E291" s="15">
        <v>330</v>
      </c>
    </row>
    <row r="292" spans="1:5" x14ac:dyDescent="0.25">
      <c r="A292" s="31" t="s">
        <v>1346</v>
      </c>
      <c r="B292" s="32">
        <v>44562</v>
      </c>
      <c r="C292" s="31"/>
      <c r="D292" s="31" t="s">
        <v>13</v>
      </c>
      <c r="E292" s="15">
        <v>167.05</v>
      </c>
    </row>
    <row r="293" spans="1:5" x14ac:dyDescent="0.25">
      <c r="A293" s="31" t="s">
        <v>1347</v>
      </c>
      <c r="B293" s="32">
        <v>44562</v>
      </c>
      <c r="C293" s="31"/>
      <c r="D293" s="31" t="s">
        <v>13</v>
      </c>
      <c r="E293" s="15">
        <v>167.05</v>
      </c>
    </row>
    <row r="294" spans="1:5" x14ac:dyDescent="0.25">
      <c r="A294" s="31" t="s">
        <v>1348</v>
      </c>
      <c r="B294" s="32">
        <v>44562</v>
      </c>
      <c r="C294" s="31"/>
      <c r="D294" s="31" t="s">
        <v>13</v>
      </c>
      <c r="E294" s="15">
        <v>167.05</v>
      </c>
    </row>
    <row r="295" spans="1:5" x14ac:dyDescent="0.25">
      <c r="A295" s="31" t="s">
        <v>1349</v>
      </c>
      <c r="B295" s="32">
        <v>44562</v>
      </c>
      <c r="C295" s="31"/>
      <c r="D295" s="31" t="s">
        <v>13</v>
      </c>
      <c r="E295" s="15">
        <v>167.05</v>
      </c>
    </row>
    <row r="296" spans="1:5" x14ac:dyDescent="0.25">
      <c r="A296" s="31" t="s">
        <v>1350</v>
      </c>
      <c r="B296" s="32">
        <v>44562</v>
      </c>
      <c r="C296" s="31"/>
      <c r="D296" s="31" t="s">
        <v>13</v>
      </c>
      <c r="E296" s="15">
        <v>167.05</v>
      </c>
    </row>
    <row r="297" spans="1:5" x14ac:dyDescent="0.25">
      <c r="A297" s="31" t="s">
        <v>1351</v>
      </c>
      <c r="B297" s="32">
        <v>44562</v>
      </c>
      <c r="C297" s="31"/>
      <c r="D297" s="31" t="s">
        <v>13</v>
      </c>
      <c r="E297" s="15">
        <v>167.05</v>
      </c>
    </row>
    <row r="298" spans="1:5" x14ac:dyDescent="0.25">
      <c r="A298" s="31" t="s">
        <v>1352</v>
      </c>
      <c r="B298" s="32">
        <v>44562</v>
      </c>
      <c r="C298" s="31"/>
      <c r="D298" s="31" t="s">
        <v>13</v>
      </c>
      <c r="E298" s="15">
        <v>167.05</v>
      </c>
    </row>
    <row r="299" spans="1:5" x14ac:dyDescent="0.25">
      <c r="A299" s="31" t="s">
        <v>1353</v>
      </c>
      <c r="B299" s="32">
        <v>44562</v>
      </c>
      <c r="C299" s="31"/>
      <c r="D299" s="31" t="s">
        <v>13</v>
      </c>
      <c r="E299" s="15">
        <v>167.05</v>
      </c>
    </row>
    <row r="300" spans="1:5" x14ac:dyDescent="0.25">
      <c r="A300" s="31" t="s">
        <v>1354</v>
      </c>
      <c r="B300" s="32">
        <v>44562</v>
      </c>
      <c r="C300" s="31"/>
      <c r="D300" s="31" t="s">
        <v>13</v>
      </c>
      <c r="E300" s="15">
        <v>167.05</v>
      </c>
    </row>
    <row r="301" spans="1:5" x14ac:dyDescent="0.25">
      <c r="A301" s="31" t="s">
        <v>1355</v>
      </c>
      <c r="B301" s="32">
        <v>44562</v>
      </c>
      <c r="C301" s="31"/>
      <c r="D301" s="31" t="s">
        <v>13</v>
      </c>
      <c r="E301" s="15">
        <v>167.05</v>
      </c>
    </row>
    <row r="302" spans="1:5" x14ac:dyDescent="0.25">
      <c r="A302" s="31" t="s">
        <v>1356</v>
      </c>
      <c r="B302" s="32">
        <v>44562</v>
      </c>
      <c r="C302" s="31"/>
      <c r="D302" s="31" t="s">
        <v>13</v>
      </c>
      <c r="E302" s="15">
        <v>167.05</v>
      </c>
    </row>
    <row r="303" spans="1:5" x14ac:dyDescent="0.25">
      <c r="A303" s="31" t="s">
        <v>1357</v>
      </c>
      <c r="B303" s="32">
        <v>44562</v>
      </c>
      <c r="C303" s="31"/>
      <c r="D303" s="31" t="s">
        <v>13</v>
      </c>
      <c r="E303" s="15">
        <v>167.05</v>
      </c>
    </row>
    <row r="304" spans="1:5" x14ac:dyDescent="0.25">
      <c r="A304" s="31" t="s">
        <v>1358</v>
      </c>
      <c r="B304" s="32">
        <v>44562</v>
      </c>
      <c r="C304" s="31"/>
      <c r="D304" s="31" t="s">
        <v>13</v>
      </c>
      <c r="E304" s="15">
        <v>167.05</v>
      </c>
    </row>
    <row r="305" spans="1:5" x14ac:dyDescent="0.25">
      <c r="A305" s="31" t="s">
        <v>1359</v>
      </c>
      <c r="B305" s="32">
        <v>44562</v>
      </c>
      <c r="C305" s="31"/>
      <c r="D305" s="31" t="s">
        <v>13</v>
      </c>
      <c r="E305" s="15">
        <v>167.05</v>
      </c>
    </row>
    <row r="306" spans="1:5" x14ac:dyDescent="0.25">
      <c r="A306" s="31" t="s">
        <v>1360</v>
      </c>
      <c r="B306" s="32">
        <v>44562</v>
      </c>
      <c r="C306" s="31"/>
      <c r="D306" s="31" t="s">
        <v>13</v>
      </c>
      <c r="E306" s="15">
        <v>167.05</v>
      </c>
    </row>
    <row r="307" spans="1:5" x14ac:dyDescent="0.25">
      <c r="A307" s="31" t="s">
        <v>1361</v>
      </c>
      <c r="B307" s="32">
        <v>44562</v>
      </c>
      <c r="C307" s="31"/>
      <c r="D307" s="31" t="s">
        <v>13</v>
      </c>
      <c r="E307" s="15">
        <v>167.05</v>
      </c>
    </row>
    <row r="308" spans="1:5" x14ac:dyDescent="0.25">
      <c r="A308" s="31" t="s">
        <v>1362</v>
      </c>
      <c r="B308" s="32">
        <v>44562</v>
      </c>
      <c r="C308" s="31"/>
      <c r="D308" s="31" t="s">
        <v>13</v>
      </c>
      <c r="E308" s="15">
        <v>167.05</v>
      </c>
    </row>
    <row r="309" spans="1:5" x14ac:dyDescent="0.25">
      <c r="A309" s="31" t="s">
        <v>1363</v>
      </c>
      <c r="B309" s="32">
        <v>44562</v>
      </c>
      <c r="C309" s="31"/>
      <c r="D309" s="31" t="s">
        <v>13</v>
      </c>
      <c r="E309" s="15">
        <v>167.05</v>
      </c>
    </row>
    <row r="310" spans="1:5" x14ac:dyDescent="0.25">
      <c r="A310" s="31" t="s">
        <v>1364</v>
      </c>
      <c r="B310" s="32">
        <v>44562</v>
      </c>
      <c r="C310" s="31"/>
      <c r="D310" s="31" t="s">
        <v>13</v>
      </c>
      <c r="E310" s="15">
        <v>167.05</v>
      </c>
    </row>
    <row r="311" spans="1:5" x14ac:dyDescent="0.25">
      <c r="A311" s="31" t="s">
        <v>1365</v>
      </c>
      <c r="B311" s="32">
        <v>44562</v>
      </c>
      <c r="C311" s="31"/>
      <c r="D311" s="31" t="s">
        <v>13</v>
      </c>
      <c r="E311" s="15">
        <v>167.05</v>
      </c>
    </row>
    <row r="312" spans="1:5" x14ac:dyDescent="0.25">
      <c r="A312" s="31" t="s">
        <v>1366</v>
      </c>
      <c r="B312" s="32">
        <v>44562</v>
      </c>
      <c r="C312" s="31"/>
      <c r="D312" s="31" t="s">
        <v>13</v>
      </c>
      <c r="E312" s="15">
        <v>55.399999999999977</v>
      </c>
    </row>
    <row r="313" spans="1:5" x14ac:dyDescent="0.25">
      <c r="A313" s="31" t="s">
        <v>1367</v>
      </c>
      <c r="B313" s="32">
        <v>44562</v>
      </c>
      <c r="C313" s="31"/>
      <c r="D313" s="31" t="s">
        <v>13</v>
      </c>
      <c r="E313" s="15">
        <v>55.399999999999977</v>
      </c>
    </row>
    <row r="314" spans="1:5" x14ac:dyDescent="0.25">
      <c r="A314" s="31" t="s">
        <v>1368</v>
      </c>
      <c r="B314" s="32">
        <v>44562</v>
      </c>
      <c r="C314" s="31"/>
      <c r="D314" s="31" t="s">
        <v>13</v>
      </c>
      <c r="E314" s="15">
        <v>19.799999999999997</v>
      </c>
    </row>
    <row r="315" spans="1:5" x14ac:dyDescent="0.25">
      <c r="A315" s="31" t="s">
        <v>1369</v>
      </c>
      <c r="B315" s="32">
        <v>44562</v>
      </c>
      <c r="C315" s="31"/>
      <c r="D315" s="31" t="s">
        <v>13</v>
      </c>
      <c r="E315" s="15">
        <v>17.200000000000003</v>
      </c>
    </row>
    <row r="316" spans="1:5" x14ac:dyDescent="0.25">
      <c r="A316" s="31" t="s">
        <v>1370</v>
      </c>
      <c r="B316" s="32">
        <v>44562</v>
      </c>
      <c r="C316" s="31"/>
      <c r="D316" s="31" t="s">
        <v>13</v>
      </c>
      <c r="E316" s="15">
        <v>17.200000000000003</v>
      </c>
    </row>
    <row r="317" spans="1:5" x14ac:dyDescent="0.25">
      <c r="A317" s="31" t="s">
        <v>1371</v>
      </c>
      <c r="B317" s="32">
        <v>44562</v>
      </c>
      <c r="C317" s="31"/>
      <c r="D317" s="31" t="s">
        <v>13</v>
      </c>
      <c r="E317" s="15">
        <v>17.200000000000003</v>
      </c>
    </row>
    <row r="318" spans="1:5" x14ac:dyDescent="0.25">
      <c r="A318" s="31" t="s">
        <v>1372</v>
      </c>
      <c r="B318" s="32">
        <v>44562</v>
      </c>
      <c r="C318" s="31"/>
      <c r="D318" s="31" t="s">
        <v>13</v>
      </c>
      <c r="E318" s="15">
        <v>17.200000000000003</v>
      </c>
    </row>
    <row r="319" spans="1:5" x14ac:dyDescent="0.25">
      <c r="A319" s="31" t="s">
        <v>1373</v>
      </c>
      <c r="B319" s="32">
        <v>44562</v>
      </c>
      <c r="C319" s="31"/>
      <c r="D319" s="31" t="s">
        <v>13</v>
      </c>
      <c r="E319" s="15">
        <v>48.199999999999989</v>
      </c>
    </row>
    <row r="320" spans="1:5" x14ac:dyDescent="0.25">
      <c r="A320" s="31" t="s">
        <v>1374</v>
      </c>
      <c r="B320" s="32">
        <v>44562</v>
      </c>
      <c r="C320" s="31"/>
      <c r="D320" s="31" t="s">
        <v>13</v>
      </c>
      <c r="E320" s="15">
        <v>48.199999999999989</v>
      </c>
    </row>
    <row r="321" spans="1:5" x14ac:dyDescent="0.25">
      <c r="A321" s="31" t="s">
        <v>1375</v>
      </c>
      <c r="B321" s="32">
        <v>44562</v>
      </c>
      <c r="C321" s="31"/>
      <c r="D321" s="31" t="s">
        <v>13</v>
      </c>
      <c r="E321" s="15">
        <v>73.800000000000011</v>
      </c>
    </row>
    <row r="322" spans="1:5" x14ac:dyDescent="0.25">
      <c r="A322" s="31" t="s">
        <v>1376</v>
      </c>
      <c r="B322" s="32">
        <v>44562</v>
      </c>
      <c r="C322" s="31"/>
      <c r="D322" s="31" t="s">
        <v>13</v>
      </c>
      <c r="E322" s="15">
        <v>28</v>
      </c>
    </row>
    <row r="323" spans="1:5" x14ac:dyDescent="0.25">
      <c r="A323" s="31" t="s">
        <v>1377</v>
      </c>
      <c r="B323" s="32">
        <v>44562</v>
      </c>
      <c r="C323" s="31"/>
      <c r="D323" s="31" t="s">
        <v>13</v>
      </c>
      <c r="E323" s="15">
        <v>19.799999999999997</v>
      </c>
    </row>
    <row r="324" spans="1:5" x14ac:dyDescent="0.25">
      <c r="A324" s="31" t="s">
        <v>1378</v>
      </c>
      <c r="B324" s="32">
        <v>44562</v>
      </c>
      <c r="C324" s="31"/>
      <c r="D324" s="31" t="s">
        <v>13</v>
      </c>
      <c r="E324" s="15">
        <v>12</v>
      </c>
    </row>
    <row r="325" spans="1:5" x14ac:dyDescent="0.25">
      <c r="A325" s="31" t="s">
        <v>1379</v>
      </c>
      <c r="B325" s="32">
        <v>44562</v>
      </c>
      <c r="C325" s="31"/>
      <c r="D325" s="31" t="s">
        <v>13</v>
      </c>
      <c r="E325" s="15">
        <v>17.200000000000003</v>
      </c>
    </row>
    <row r="326" spans="1:5" x14ac:dyDescent="0.25">
      <c r="A326" s="31" t="s">
        <v>1380</v>
      </c>
      <c r="B326" s="32">
        <v>44562</v>
      </c>
      <c r="C326" s="31"/>
      <c r="D326" s="31" t="s">
        <v>13</v>
      </c>
      <c r="E326" s="15">
        <v>28</v>
      </c>
    </row>
    <row r="327" spans="1:5" x14ac:dyDescent="0.25">
      <c r="A327" s="31" t="s">
        <v>1381</v>
      </c>
      <c r="B327" s="32">
        <v>44562</v>
      </c>
      <c r="C327" s="31"/>
      <c r="D327" s="31" t="s">
        <v>13</v>
      </c>
      <c r="E327" s="15">
        <v>55.399999999999977</v>
      </c>
    </row>
    <row r="328" spans="1:5" x14ac:dyDescent="0.25">
      <c r="A328" s="31" t="s">
        <v>1382</v>
      </c>
      <c r="B328" s="32">
        <v>44562</v>
      </c>
      <c r="C328" s="31"/>
      <c r="D328" s="31" t="s">
        <v>13</v>
      </c>
      <c r="E328" s="15">
        <v>28</v>
      </c>
    </row>
    <row r="329" spans="1:5" x14ac:dyDescent="0.25">
      <c r="A329" s="31" t="s">
        <v>1383</v>
      </c>
      <c r="B329" s="32">
        <v>44562</v>
      </c>
      <c r="C329" s="31"/>
      <c r="D329" s="31" t="s">
        <v>13</v>
      </c>
      <c r="E329" s="15">
        <v>28</v>
      </c>
    </row>
    <row r="330" spans="1:5" x14ac:dyDescent="0.25">
      <c r="A330" s="31" t="s">
        <v>1384</v>
      </c>
      <c r="B330" s="32">
        <v>44562</v>
      </c>
      <c r="C330" s="31"/>
      <c r="D330" s="31" t="s">
        <v>13</v>
      </c>
      <c r="E330" s="15">
        <v>48.199999999999989</v>
      </c>
    </row>
    <row r="331" spans="1:5" x14ac:dyDescent="0.25">
      <c r="A331" s="31" t="s">
        <v>1385</v>
      </c>
      <c r="B331" s="32">
        <v>44562</v>
      </c>
      <c r="C331" s="31"/>
      <c r="D331" s="31" t="s">
        <v>13</v>
      </c>
      <c r="E331" s="15">
        <v>17.200000000000003</v>
      </c>
    </row>
    <row r="332" spans="1:5" x14ac:dyDescent="0.25">
      <c r="A332" s="31" t="s">
        <v>1386</v>
      </c>
      <c r="B332" s="32">
        <v>44562</v>
      </c>
      <c r="C332" s="31"/>
      <c r="D332" s="31" t="s">
        <v>13</v>
      </c>
      <c r="E332" s="15">
        <v>17.200000000000003</v>
      </c>
    </row>
    <row r="333" spans="1:5" x14ac:dyDescent="0.25">
      <c r="A333" s="31" t="s">
        <v>1387</v>
      </c>
      <c r="B333" s="32">
        <v>44562</v>
      </c>
      <c r="C333" s="31"/>
      <c r="D333" s="31" t="s">
        <v>13</v>
      </c>
      <c r="E333" s="15">
        <v>21.399999999999991</v>
      </c>
    </row>
    <row r="334" spans="1:5" x14ac:dyDescent="0.25">
      <c r="A334" s="31" t="s">
        <v>1388</v>
      </c>
      <c r="B334" s="32">
        <v>44562</v>
      </c>
      <c r="C334" s="31"/>
      <c r="D334" s="31" t="s">
        <v>13</v>
      </c>
      <c r="E334" s="15">
        <v>21.399999999999991</v>
      </c>
    </row>
    <row r="335" spans="1:5" x14ac:dyDescent="0.25">
      <c r="A335" s="31" t="s">
        <v>1389</v>
      </c>
      <c r="B335" s="32">
        <v>44562</v>
      </c>
      <c r="C335" s="31"/>
      <c r="D335" s="31" t="s">
        <v>13</v>
      </c>
      <c r="E335" s="15">
        <v>17.200000000000003</v>
      </c>
    </row>
    <row r="336" spans="1:5" x14ac:dyDescent="0.25">
      <c r="A336" s="31" t="s">
        <v>1390</v>
      </c>
      <c r="B336" s="32">
        <v>44562</v>
      </c>
      <c r="C336" s="31"/>
      <c r="D336" s="31" t="s">
        <v>13</v>
      </c>
      <c r="E336" s="15">
        <v>19.799999999999997</v>
      </c>
    </row>
    <row r="337" spans="1:5" x14ac:dyDescent="0.25">
      <c r="A337" s="31" t="s">
        <v>1391</v>
      </c>
      <c r="B337" s="32">
        <v>44562</v>
      </c>
      <c r="C337" s="31"/>
      <c r="D337" s="31" t="s">
        <v>13</v>
      </c>
      <c r="E337" s="15">
        <v>28</v>
      </c>
    </row>
    <row r="338" spans="1:5" x14ac:dyDescent="0.25">
      <c r="A338" s="31" t="s">
        <v>1392</v>
      </c>
      <c r="B338" s="32">
        <v>44562</v>
      </c>
      <c r="C338" s="31"/>
      <c r="D338" s="31" t="s">
        <v>13</v>
      </c>
      <c r="E338" s="15">
        <v>17.200000000000003</v>
      </c>
    </row>
    <row r="339" spans="1:5" x14ac:dyDescent="0.25">
      <c r="A339" s="31" t="s">
        <v>1393</v>
      </c>
      <c r="B339" s="32">
        <v>44562</v>
      </c>
      <c r="C339" s="31"/>
      <c r="D339" s="31" t="s">
        <v>13</v>
      </c>
      <c r="E339" s="15">
        <v>17.200000000000003</v>
      </c>
    </row>
    <row r="340" spans="1:5" x14ac:dyDescent="0.25">
      <c r="A340" s="31" t="s">
        <v>1394</v>
      </c>
      <c r="B340" s="32">
        <v>44562</v>
      </c>
      <c r="C340" s="31"/>
      <c r="D340" s="31" t="s">
        <v>13</v>
      </c>
      <c r="E340" s="15">
        <v>61.599999999999994</v>
      </c>
    </row>
    <row r="341" spans="1:5" x14ac:dyDescent="0.25">
      <c r="A341" s="31" t="s">
        <v>1395</v>
      </c>
      <c r="B341" s="32">
        <v>44562</v>
      </c>
      <c r="C341" s="31"/>
      <c r="D341" s="31" t="s">
        <v>13</v>
      </c>
      <c r="E341" s="15">
        <v>48.199999999999989</v>
      </c>
    </row>
    <row r="342" spans="1:5" x14ac:dyDescent="0.25">
      <c r="A342" s="31" t="s">
        <v>1396</v>
      </c>
      <c r="B342" s="32">
        <v>44562</v>
      </c>
      <c r="C342" s="31"/>
      <c r="D342" s="31" t="s">
        <v>13</v>
      </c>
      <c r="E342" s="15">
        <v>48.199999999999989</v>
      </c>
    </row>
    <row r="343" spans="1:5" x14ac:dyDescent="0.25">
      <c r="A343" s="31" t="s">
        <v>1397</v>
      </c>
      <c r="B343" s="32">
        <v>44562</v>
      </c>
      <c r="C343" s="31"/>
      <c r="D343" s="31" t="s">
        <v>13</v>
      </c>
      <c r="E343" s="15">
        <v>48.199999999999989</v>
      </c>
    </row>
    <row r="344" spans="1:5" x14ac:dyDescent="0.25">
      <c r="A344" s="31" t="s">
        <v>1398</v>
      </c>
      <c r="B344" s="32">
        <v>44562</v>
      </c>
      <c r="C344" s="31"/>
      <c r="D344" s="31" t="s">
        <v>13</v>
      </c>
      <c r="E344" s="15">
        <v>17.200000000000003</v>
      </c>
    </row>
    <row r="345" spans="1:5" x14ac:dyDescent="0.25">
      <c r="A345" s="31" t="s">
        <v>1399</v>
      </c>
      <c r="B345" s="32">
        <v>44562</v>
      </c>
      <c r="C345" s="31"/>
      <c r="D345" s="31" t="s">
        <v>13</v>
      </c>
      <c r="E345" s="15">
        <v>17.200000000000003</v>
      </c>
    </row>
    <row r="346" spans="1:5" x14ac:dyDescent="0.25">
      <c r="A346" s="31" t="s">
        <v>1400</v>
      </c>
      <c r="B346" s="32">
        <v>44562</v>
      </c>
      <c r="C346" s="31"/>
      <c r="D346" s="31" t="s">
        <v>13</v>
      </c>
      <c r="E346" s="15">
        <v>28</v>
      </c>
    </row>
    <row r="347" spans="1:5" x14ac:dyDescent="0.25">
      <c r="A347" s="31" t="s">
        <v>1401</v>
      </c>
      <c r="B347" s="32">
        <v>44562</v>
      </c>
      <c r="C347" s="31"/>
      <c r="D347" s="31" t="s">
        <v>13</v>
      </c>
      <c r="E347" s="15">
        <v>50</v>
      </c>
    </row>
    <row r="348" spans="1:5" x14ac:dyDescent="0.25">
      <c r="A348" s="31" t="s">
        <v>1402</v>
      </c>
      <c r="B348" s="32">
        <v>44562</v>
      </c>
      <c r="C348" s="31"/>
      <c r="D348" s="31" t="s">
        <v>13</v>
      </c>
      <c r="E348" s="15">
        <v>55.399999999999977</v>
      </c>
    </row>
    <row r="349" spans="1:5" x14ac:dyDescent="0.25">
      <c r="A349" s="31" t="s">
        <v>1403</v>
      </c>
      <c r="B349" s="32">
        <v>44562</v>
      </c>
      <c r="C349" s="31"/>
      <c r="D349" s="31" t="s">
        <v>13</v>
      </c>
      <c r="E349" s="15">
        <v>9.5999999999999943</v>
      </c>
    </row>
    <row r="350" spans="1:5" x14ac:dyDescent="0.25">
      <c r="A350" s="31" t="s">
        <v>1404</v>
      </c>
      <c r="B350" s="32">
        <v>44562</v>
      </c>
      <c r="C350" s="31"/>
      <c r="D350" s="31" t="s">
        <v>13</v>
      </c>
      <c r="E350" s="15">
        <v>55.199999999999989</v>
      </c>
    </row>
    <row r="351" spans="1:5" x14ac:dyDescent="0.25">
      <c r="A351" s="31" t="s">
        <v>1405</v>
      </c>
      <c r="B351" s="32">
        <v>44562</v>
      </c>
      <c r="C351" s="31"/>
      <c r="D351" s="31" t="s">
        <v>13</v>
      </c>
      <c r="E351" s="15">
        <v>6.3999999999999986</v>
      </c>
    </row>
    <row r="352" spans="1:5" x14ac:dyDescent="0.25">
      <c r="A352" s="31" t="s">
        <v>1406</v>
      </c>
      <c r="B352" s="32">
        <v>44562</v>
      </c>
      <c r="C352" s="31"/>
      <c r="D352" s="31" t="s">
        <v>13</v>
      </c>
      <c r="E352" s="15">
        <v>21.399999999999991</v>
      </c>
    </row>
    <row r="353" spans="1:5" x14ac:dyDescent="0.25">
      <c r="A353" s="31" t="s">
        <v>1407</v>
      </c>
      <c r="B353" s="32">
        <v>44562</v>
      </c>
      <c r="C353" s="31"/>
      <c r="D353" s="31" t="s">
        <v>13</v>
      </c>
      <c r="E353" s="15">
        <v>17.200000000000003</v>
      </c>
    </row>
    <row r="354" spans="1:5" x14ac:dyDescent="0.25">
      <c r="A354" s="31" t="s">
        <v>1408</v>
      </c>
      <c r="B354" s="32">
        <v>44562</v>
      </c>
      <c r="C354" s="31"/>
      <c r="D354" s="31" t="s">
        <v>13</v>
      </c>
      <c r="E354" s="15">
        <v>6.3999999999999986</v>
      </c>
    </row>
    <row r="355" spans="1:5" x14ac:dyDescent="0.25">
      <c r="A355" s="31" t="s">
        <v>1409</v>
      </c>
      <c r="B355" s="32">
        <v>44562</v>
      </c>
      <c r="C355" s="31"/>
      <c r="D355" s="31" t="s">
        <v>13</v>
      </c>
      <c r="E355" s="15">
        <v>6.3999999999999986</v>
      </c>
    </row>
    <row r="356" spans="1:5" x14ac:dyDescent="0.25">
      <c r="A356" s="31" t="s">
        <v>1410</v>
      </c>
      <c r="B356" s="32">
        <v>44562</v>
      </c>
      <c r="C356" s="31"/>
      <c r="D356" s="31" t="s">
        <v>13</v>
      </c>
      <c r="E356" s="15">
        <v>6.3999999999999986</v>
      </c>
    </row>
    <row r="357" spans="1:5" x14ac:dyDescent="0.25">
      <c r="A357" s="31" t="s">
        <v>1411</v>
      </c>
      <c r="B357" s="32">
        <v>44562</v>
      </c>
      <c r="C357" s="31"/>
      <c r="D357" s="31" t="s">
        <v>13</v>
      </c>
      <c r="E357" s="15">
        <v>6.3999999999999986</v>
      </c>
    </row>
    <row r="358" spans="1:5" x14ac:dyDescent="0.25">
      <c r="A358" s="31" t="s">
        <v>1412</v>
      </c>
      <c r="B358" s="32">
        <v>44562</v>
      </c>
      <c r="C358" s="31"/>
      <c r="D358" s="31" t="s">
        <v>13</v>
      </c>
      <c r="E358" s="15">
        <v>6.3999999999999986</v>
      </c>
    </row>
    <row r="359" spans="1:5" x14ac:dyDescent="0.25">
      <c r="A359" s="31" t="s">
        <v>1413</v>
      </c>
      <c r="B359" s="32">
        <v>44562</v>
      </c>
      <c r="C359" s="31"/>
      <c r="D359" s="31" t="s">
        <v>13</v>
      </c>
      <c r="E359" s="15">
        <v>6.3999999999999986</v>
      </c>
    </row>
    <row r="360" spans="1:5" x14ac:dyDescent="0.25">
      <c r="A360" s="31" t="s">
        <v>1414</v>
      </c>
      <c r="B360" s="32">
        <v>44562</v>
      </c>
      <c r="C360" s="31"/>
      <c r="D360" s="31" t="s">
        <v>13</v>
      </c>
      <c r="E360" s="15">
        <v>9.5999999999999943</v>
      </c>
    </row>
    <row r="361" spans="1:5" x14ac:dyDescent="0.25">
      <c r="A361" s="31" t="s">
        <v>1415</v>
      </c>
      <c r="B361" s="32">
        <v>44562</v>
      </c>
      <c r="C361" s="31"/>
      <c r="D361" s="31" t="s">
        <v>13</v>
      </c>
      <c r="E361" s="15">
        <v>55.199999999999989</v>
      </c>
    </row>
    <row r="362" spans="1:5" x14ac:dyDescent="0.25">
      <c r="A362" s="31" t="s">
        <v>1416</v>
      </c>
      <c r="B362" s="32">
        <v>44562</v>
      </c>
      <c r="C362" s="31"/>
      <c r="D362" s="31" t="s">
        <v>13</v>
      </c>
      <c r="E362" s="15">
        <v>2.3999999999999986</v>
      </c>
    </row>
    <row r="363" spans="1:5" x14ac:dyDescent="0.25">
      <c r="A363" s="31" t="s">
        <v>1417</v>
      </c>
      <c r="B363" s="32">
        <v>44562</v>
      </c>
      <c r="C363" s="31"/>
      <c r="D363" s="31" t="s">
        <v>13</v>
      </c>
      <c r="E363" s="15">
        <v>9.5999999999999943</v>
      </c>
    </row>
    <row r="364" spans="1:5" x14ac:dyDescent="0.25">
      <c r="A364" s="31" t="s">
        <v>1418</v>
      </c>
      <c r="B364" s="32">
        <v>44562</v>
      </c>
      <c r="C364" s="31"/>
      <c r="D364" s="31" t="s">
        <v>13</v>
      </c>
      <c r="E364" s="15">
        <v>6.3999999999999986</v>
      </c>
    </row>
    <row r="365" spans="1:5" x14ac:dyDescent="0.25">
      <c r="A365" s="31" t="s">
        <v>1419</v>
      </c>
      <c r="B365" s="32">
        <v>44562</v>
      </c>
      <c r="C365" s="31"/>
      <c r="D365" s="31" t="s">
        <v>13</v>
      </c>
      <c r="E365" s="15">
        <v>28</v>
      </c>
    </row>
    <row r="366" spans="1:5" x14ac:dyDescent="0.25">
      <c r="A366" s="31" t="s">
        <v>1420</v>
      </c>
      <c r="B366" s="32">
        <v>44562</v>
      </c>
      <c r="C366" s="31"/>
      <c r="D366" s="31" t="s">
        <v>13</v>
      </c>
      <c r="E366" s="15">
        <v>17.200000000000003</v>
      </c>
    </row>
    <row r="367" spans="1:5" x14ac:dyDescent="0.25">
      <c r="A367" s="31" t="s">
        <v>1421</v>
      </c>
      <c r="B367" s="32">
        <v>44562</v>
      </c>
      <c r="C367" s="31"/>
      <c r="D367" s="31" t="s">
        <v>13</v>
      </c>
      <c r="E367" s="15">
        <v>17.200000000000003</v>
      </c>
    </row>
    <row r="368" spans="1:5" x14ac:dyDescent="0.25">
      <c r="A368" s="31" t="s">
        <v>1422</v>
      </c>
      <c r="B368" s="32">
        <v>44562</v>
      </c>
      <c r="C368" s="31"/>
      <c r="D368" s="31" t="s">
        <v>13</v>
      </c>
      <c r="E368" s="15">
        <v>73.800000000000011</v>
      </c>
    </row>
    <row r="369" spans="1:5" x14ac:dyDescent="0.25">
      <c r="A369" s="31" t="s">
        <v>1423</v>
      </c>
      <c r="B369" s="32">
        <v>44562</v>
      </c>
      <c r="C369" s="31"/>
      <c r="D369" s="31" t="s">
        <v>13</v>
      </c>
      <c r="E369" s="15">
        <v>6.3999999999999986</v>
      </c>
    </row>
    <row r="370" spans="1:5" x14ac:dyDescent="0.25">
      <c r="A370" s="31" t="s">
        <v>1424</v>
      </c>
      <c r="B370" s="32">
        <v>44562</v>
      </c>
      <c r="C370" s="31"/>
      <c r="D370" s="31" t="s">
        <v>13</v>
      </c>
      <c r="E370" s="15">
        <v>6.3999999999999986</v>
      </c>
    </row>
    <row r="371" spans="1:5" x14ac:dyDescent="0.25">
      <c r="A371" s="31" t="s">
        <v>1425</v>
      </c>
      <c r="B371" s="32">
        <v>44562</v>
      </c>
      <c r="C371" s="31"/>
      <c r="D371" s="31" t="s">
        <v>13</v>
      </c>
      <c r="E371" s="15">
        <v>17.200000000000003</v>
      </c>
    </row>
    <row r="372" spans="1:5" x14ac:dyDescent="0.25">
      <c r="A372" s="31" t="s">
        <v>1426</v>
      </c>
      <c r="B372" s="32">
        <v>44562</v>
      </c>
      <c r="C372" s="31"/>
      <c r="D372" s="31" t="s">
        <v>13</v>
      </c>
      <c r="E372" s="15">
        <v>21.399999999999991</v>
      </c>
    </row>
    <row r="373" spans="1:5" x14ac:dyDescent="0.25">
      <c r="A373" s="31" t="s">
        <v>1427</v>
      </c>
      <c r="B373" s="32">
        <v>44562</v>
      </c>
      <c r="C373" s="31"/>
      <c r="D373" s="31" t="s">
        <v>13</v>
      </c>
      <c r="E373" s="15">
        <v>48.199999999999989</v>
      </c>
    </row>
    <row r="374" spans="1:5" x14ac:dyDescent="0.25">
      <c r="A374" s="31" t="s">
        <v>1428</v>
      </c>
      <c r="B374" s="32">
        <v>44562</v>
      </c>
      <c r="C374" s="31"/>
      <c r="D374" s="31" t="s">
        <v>13</v>
      </c>
      <c r="E374" s="15">
        <v>48.199999999999989</v>
      </c>
    </row>
    <row r="375" spans="1:5" x14ac:dyDescent="0.25">
      <c r="A375" s="31" t="s">
        <v>1429</v>
      </c>
      <c r="B375" s="32">
        <v>44562</v>
      </c>
      <c r="C375" s="31"/>
      <c r="D375" s="31" t="s">
        <v>13</v>
      </c>
      <c r="E375" s="15">
        <v>25.599999999999994</v>
      </c>
    </row>
    <row r="376" spans="1:5" x14ac:dyDescent="0.25">
      <c r="A376" s="31" t="s">
        <v>1430</v>
      </c>
      <c r="B376" s="32">
        <v>44562</v>
      </c>
      <c r="C376" s="31"/>
      <c r="D376" s="31" t="s">
        <v>13</v>
      </c>
      <c r="E376" s="15">
        <v>21.399999999999991</v>
      </c>
    </row>
    <row r="377" spans="1:5" x14ac:dyDescent="0.25">
      <c r="A377" s="31" t="s">
        <v>1431</v>
      </c>
      <c r="B377" s="32">
        <v>44562</v>
      </c>
      <c r="C377" s="31"/>
      <c r="D377" s="31" t="s">
        <v>13</v>
      </c>
      <c r="E377" s="15">
        <v>48.199999999999989</v>
      </c>
    </row>
    <row r="378" spans="1:5" x14ac:dyDescent="0.25">
      <c r="A378" s="31" t="s">
        <v>1432</v>
      </c>
      <c r="B378" s="32">
        <v>44562</v>
      </c>
      <c r="C378" s="31"/>
      <c r="D378" s="31" t="s">
        <v>13</v>
      </c>
      <c r="E378" s="15">
        <v>56.199999999999989</v>
      </c>
    </row>
    <row r="379" spans="1:5" x14ac:dyDescent="0.25">
      <c r="A379" s="31" t="s">
        <v>1433</v>
      </c>
      <c r="B379" s="32">
        <v>44562</v>
      </c>
      <c r="C379" s="31"/>
      <c r="D379" s="31" t="s">
        <v>13</v>
      </c>
      <c r="E379" s="15">
        <v>9.5999999999999943</v>
      </c>
    </row>
    <row r="380" spans="1:5" x14ac:dyDescent="0.25">
      <c r="A380" s="31" t="s">
        <v>1434</v>
      </c>
      <c r="B380" s="32">
        <v>44562</v>
      </c>
      <c r="C380" s="31"/>
      <c r="D380" s="31" t="s">
        <v>13</v>
      </c>
      <c r="E380" s="15">
        <v>14</v>
      </c>
    </row>
    <row r="381" spans="1:5" x14ac:dyDescent="0.25">
      <c r="A381" s="31" t="s">
        <v>1435</v>
      </c>
      <c r="B381" s="32">
        <v>44562</v>
      </c>
      <c r="C381" s="31"/>
      <c r="D381" s="31" t="s">
        <v>13</v>
      </c>
      <c r="E381" s="15">
        <v>20.599999999999994</v>
      </c>
    </row>
    <row r="382" spans="1:5" x14ac:dyDescent="0.25">
      <c r="A382" s="31" t="s">
        <v>1436</v>
      </c>
      <c r="B382" s="32">
        <v>44562</v>
      </c>
      <c r="C382" s="31"/>
      <c r="D382" s="31" t="s">
        <v>13</v>
      </c>
      <c r="E382" s="15">
        <v>11.399999999999999</v>
      </c>
    </row>
    <row r="383" spans="1:5" x14ac:dyDescent="0.25">
      <c r="A383" s="31" t="s">
        <v>1437</v>
      </c>
      <c r="B383" s="32">
        <v>44562</v>
      </c>
      <c r="C383" s="31"/>
      <c r="D383" s="31" t="s">
        <v>13</v>
      </c>
      <c r="E383" s="15">
        <v>9.5999999999999943</v>
      </c>
    </row>
    <row r="384" spans="1:5" x14ac:dyDescent="0.25">
      <c r="A384" s="31" t="s">
        <v>1438</v>
      </c>
      <c r="B384" s="32">
        <v>44562</v>
      </c>
      <c r="C384" s="31"/>
      <c r="D384" s="31" t="s">
        <v>13</v>
      </c>
      <c r="E384" s="15">
        <v>17.200000000000003</v>
      </c>
    </row>
    <row r="385" spans="1:5" x14ac:dyDescent="0.25">
      <c r="A385" s="31" t="s">
        <v>1439</v>
      </c>
      <c r="B385" s="32">
        <v>44562</v>
      </c>
      <c r="C385" s="31"/>
      <c r="D385" s="31" t="s">
        <v>13</v>
      </c>
      <c r="E385" s="15">
        <v>12</v>
      </c>
    </row>
    <row r="386" spans="1:5" x14ac:dyDescent="0.25">
      <c r="A386" s="31" t="s">
        <v>1440</v>
      </c>
      <c r="B386" s="32">
        <v>44562</v>
      </c>
      <c r="C386" s="31"/>
      <c r="D386" s="31" t="s">
        <v>13</v>
      </c>
      <c r="E386" s="15">
        <v>12</v>
      </c>
    </row>
    <row r="387" spans="1:5" x14ac:dyDescent="0.25">
      <c r="A387" s="31" t="s">
        <v>1441</v>
      </c>
      <c r="B387" s="32">
        <v>44562</v>
      </c>
      <c r="C387" s="31"/>
      <c r="D387" s="31" t="s">
        <v>13</v>
      </c>
      <c r="E387" s="15">
        <v>6.3999999999999986</v>
      </c>
    </row>
    <row r="388" spans="1:5" x14ac:dyDescent="0.25">
      <c r="A388" s="31" t="s">
        <v>1442</v>
      </c>
      <c r="B388" s="32">
        <v>44562</v>
      </c>
      <c r="C388" s="31"/>
      <c r="D388" s="31" t="s">
        <v>13</v>
      </c>
      <c r="E388" s="15">
        <v>2.3999999999999986</v>
      </c>
    </row>
    <row r="389" spans="1:5" x14ac:dyDescent="0.25">
      <c r="A389" s="31" t="s">
        <v>1443</v>
      </c>
      <c r="B389" s="32">
        <v>44562</v>
      </c>
      <c r="C389" s="31"/>
      <c r="D389" s="31" t="s">
        <v>13</v>
      </c>
      <c r="E389" s="15">
        <v>12</v>
      </c>
    </row>
    <row r="390" spans="1:5" x14ac:dyDescent="0.25">
      <c r="A390" s="31" t="s">
        <v>1444</v>
      </c>
      <c r="B390" s="32">
        <v>44562</v>
      </c>
      <c r="C390" s="31"/>
      <c r="D390" s="31" t="s">
        <v>13</v>
      </c>
      <c r="E390" s="15">
        <v>12</v>
      </c>
    </row>
    <row r="391" spans="1:5" x14ac:dyDescent="0.25">
      <c r="A391" s="31" t="s">
        <v>1445</v>
      </c>
      <c r="B391" s="32">
        <v>44562</v>
      </c>
      <c r="C391" s="31"/>
      <c r="D391" s="31" t="s">
        <v>13</v>
      </c>
      <c r="E391" s="15">
        <v>6.3999999999999986</v>
      </c>
    </row>
    <row r="392" spans="1:5" x14ac:dyDescent="0.25">
      <c r="A392" s="31" t="s">
        <v>1446</v>
      </c>
      <c r="B392" s="32">
        <v>44562</v>
      </c>
      <c r="C392" s="31"/>
      <c r="D392" s="31" t="s">
        <v>13</v>
      </c>
      <c r="E392" s="15">
        <v>6.3999999999999986</v>
      </c>
    </row>
    <row r="393" spans="1:5" x14ac:dyDescent="0.25">
      <c r="A393" s="31" t="s">
        <v>1447</v>
      </c>
      <c r="B393" s="32">
        <v>44562</v>
      </c>
      <c r="C393" s="31"/>
      <c r="D393" s="31" t="s">
        <v>13</v>
      </c>
      <c r="E393" s="15">
        <v>12</v>
      </c>
    </row>
    <row r="394" spans="1:5" x14ac:dyDescent="0.25">
      <c r="A394" s="31" t="s">
        <v>1448</v>
      </c>
      <c r="B394" s="32">
        <v>44562</v>
      </c>
      <c r="C394" s="31"/>
      <c r="D394" s="31" t="s">
        <v>13</v>
      </c>
      <c r="E394" s="15">
        <v>2.3999999999999986</v>
      </c>
    </row>
    <row r="395" spans="1:5" x14ac:dyDescent="0.25">
      <c r="A395" s="31" t="s">
        <v>1449</v>
      </c>
      <c r="B395" s="32">
        <v>44562</v>
      </c>
      <c r="C395" s="31"/>
      <c r="D395" s="31" t="s">
        <v>13</v>
      </c>
      <c r="E395" s="15">
        <v>19.799999999999997</v>
      </c>
    </row>
    <row r="396" spans="1:5" x14ac:dyDescent="0.25">
      <c r="A396" s="31" t="s">
        <v>1450</v>
      </c>
      <c r="B396" s="32">
        <v>44562</v>
      </c>
      <c r="C396" s="31"/>
      <c r="D396" s="31" t="s">
        <v>13</v>
      </c>
      <c r="E396" s="15">
        <v>2.3999999999999986</v>
      </c>
    </row>
    <row r="397" spans="1:5" x14ac:dyDescent="0.25">
      <c r="A397" s="31" t="s">
        <v>1451</v>
      </c>
      <c r="B397" s="32">
        <v>44562</v>
      </c>
      <c r="C397" s="31"/>
      <c r="D397" s="31" t="s">
        <v>13</v>
      </c>
      <c r="E397" s="15">
        <v>14</v>
      </c>
    </row>
    <row r="398" spans="1:5" x14ac:dyDescent="0.25">
      <c r="A398" s="31" t="s">
        <v>1452</v>
      </c>
      <c r="B398" s="32">
        <v>44562</v>
      </c>
      <c r="C398" s="31"/>
      <c r="D398" s="31" t="s">
        <v>13</v>
      </c>
      <c r="E398" s="15">
        <v>19.799999999999997</v>
      </c>
    </row>
    <row r="399" spans="1:5" x14ac:dyDescent="0.25">
      <c r="A399" s="31" t="s">
        <v>1453</v>
      </c>
      <c r="B399" s="32">
        <v>44562</v>
      </c>
      <c r="C399" s="31"/>
      <c r="D399" s="31" t="s">
        <v>13</v>
      </c>
      <c r="E399" s="15">
        <v>21.399999999999991</v>
      </c>
    </row>
    <row r="400" spans="1:5" x14ac:dyDescent="0.25">
      <c r="A400" s="31" t="s">
        <v>1454</v>
      </c>
      <c r="B400" s="32">
        <v>44562</v>
      </c>
      <c r="C400" s="31"/>
      <c r="D400" s="31" t="s">
        <v>13</v>
      </c>
      <c r="E400" s="15">
        <v>2.3999999999999986</v>
      </c>
    </row>
    <row r="401" spans="1:5" x14ac:dyDescent="0.25">
      <c r="A401" s="31" t="s">
        <v>1455</v>
      </c>
      <c r="B401" s="32">
        <v>44562</v>
      </c>
      <c r="C401" s="31"/>
      <c r="D401" s="31" t="s">
        <v>13</v>
      </c>
      <c r="E401" s="15">
        <v>2.3999999999999986</v>
      </c>
    </row>
    <row r="402" spans="1:5" x14ac:dyDescent="0.25">
      <c r="A402" s="31" t="s">
        <v>1456</v>
      </c>
      <c r="B402" s="32">
        <v>44562</v>
      </c>
      <c r="C402" s="31"/>
      <c r="D402" s="31" t="s">
        <v>13</v>
      </c>
      <c r="E402" s="15">
        <v>6.3999999999999986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9B00-428E-4A83-A1CE-6150EB3FD6D1}">
  <sheetPr>
    <tabColor rgb="FF92D050"/>
  </sheetPr>
  <dimension ref="A1:G1833"/>
  <sheetViews>
    <sheetView zoomScale="85" zoomScaleNormal="85" workbookViewId="0">
      <pane xSplit="3" ySplit="1" topLeftCell="D167" activePane="bottomRight" state="frozen"/>
      <selection activeCell="F34" sqref="F34"/>
      <selection pane="topRight" activeCell="F34" sqref="F34"/>
      <selection pane="bottomLeft" activeCell="F34" sqref="F34"/>
      <selection pane="bottomRight" activeCell="C205" sqref="C205"/>
    </sheetView>
  </sheetViews>
  <sheetFormatPr defaultRowHeight="15" x14ac:dyDescent="0.25"/>
  <cols>
    <col min="1" max="1" width="11.42578125" style="10" bestFit="1" customWidth="1"/>
    <col min="2" max="2" width="14.42578125" style="9" bestFit="1" customWidth="1"/>
    <col min="3" max="3" width="13.7109375" style="9" bestFit="1" customWidth="1"/>
    <col min="4" max="4" width="10.5703125" style="6" bestFit="1" customWidth="1"/>
    <col min="5" max="5" width="10.28515625" style="6" bestFit="1" customWidth="1"/>
    <col min="6" max="6" width="6.42578125" style="6" bestFit="1" customWidth="1"/>
    <col min="7" max="7" width="10.85546875" bestFit="1" customWidth="1"/>
  </cols>
  <sheetData>
    <row r="1" spans="1:7" s="11" customFormat="1" x14ac:dyDescent="0.25">
      <c r="A1" s="33" t="s">
        <v>1459</v>
      </c>
      <c r="B1" s="33" t="s">
        <v>1034</v>
      </c>
      <c r="C1" s="33" t="s">
        <v>1035</v>
      </c>
      <c r="D1" s="34" t="s">
        <v>1460</v>
      </c>
      <c r="E1" s="34" t="s">
        <v>1461</v>
      </c>
      <c r="F1" s="33" t="s">
        <v>1462</v>
      </c>
      <c r="G1" s="34" t="s">
        <v>1463</v>
      </c>
    </row>
    <row r="2" spans="1:7" s="11" customFormat="1" x14ac:dyDescent="0.25">
      <c r="A2" s="31">
        <v>202201</v>
      </c>
      <c r="B2" s="31" t="s">
        <v>13</v>
      </c>
      <c r="C2" s="31" t="s">
        <v>12</v>
      </c>
      <c r="D2" s="35">
        <v>44564</v>
      </c>
      <c r="E2" s="35">
        <v>44570</v>
      </c>
      <c r="F2" s="36">
        <v>1</v>
      </c>
      <c r="G2" s="38">
        <v>1</v>
      </c>
    </row>
    <row r="3" spans="1:7" s="11" customFormat="1" x14ac:dyDescent="0.25">
      <c r="A3" s="31">
        <v>202202</v>
      </c>
      <c r="B3" s="31" t="s">
        <v>13</v>
      </c>
      <c r="C3" s="31" t="s">
        <v>12</v>
      </c>
      <c r="D3" s="35">
        <v>44571</v>
      </c>
      <c r="E3" s="35">
        <v>44577</v>
      </c>
      <c r="F3" s="36">
        <v>2</v>
      </c>
      <c r="G3" s="37">
        <v>1</v>
      </c>
    </row>
    <row r="4" spans="1:7" s="11" customFormat="1" x14ac:dyDescent="0.25">
      <c r="A4" s="31">
        <v>202203</v>
      </c>
      <c r="B4" s="31" t="s">
        <v>13</v>
      </c>
      <c r="C4" s="31" t="s">
        <v>12</v>
      </c>
      <c r="D4" s="35">
        <v>44578</v>
      </c>
      <c r="E4" s="35">
        <v>44584</v>
      </c>
      <c r="F4" s="36">
        <v>3</v>
      </c>
      <c r="G4" s="37">
        <v>1</v>
      </c>
    </row>
    <row r="5" spans="1:7" s="11" customFormat="1" x14ac:dyDescent="0.25">
      <c r="A5" s="31">
        <v>202204</v>
      </c>
      <c r="B5" s="31" t="s">
        <v>13</v>
      </c>
      <c r="C5" s="31" t="s">
        <v>12</v>
      </c>
      <c r="D5" s="35">
        <v>44585</v>
      </c>
      <c r="E5" s="35">
        <v>44591</v>
      </c>
      <c r="F5" s="36">
        <v>4</v>
      </c>
      <c r="G5" s="38">
        <v>1</v>
      </c>
    </row>
    <row r="6" spans="1:7" s="11" customFormat="1" x14ac:dyDescent="0.25">
      <c r="A6" s="31">
        <v>202205</v>
      </c>
      <c r="B6" s="31" t="s">
        <v>13</v>
      </c>
      <c r="C6" s="31" t="s">
        <v>12</v>
      </c>
      <c r="D6" s="35">
        <v>44592</v>
      </c>
      <c r="E6" s="35">
        <v>44598</v>
      </c>
      <c r="F6" s="36">
        <v>5</v>
      </c>
      <c r="G6" s="37">
        <v>1</v>
      </c>
    </row>
    <row r="7" spans="1:7" s="11" customFormat="1" x14ac:dyDescent="0.25">
      <c r="A7" s="31">
        <v>202206</v>
      </c>
      <c r="B7" s="31" t="s">
        <v>13</v>
      </c>
      <c r="C7" s="31" t="s">
        <v>12</v>
      </c>
      <c r="D7" s="35">
        <v>44599</v>
      </c>
      <c r="E7" s="35">
        <v>44605</v>
      </c>
      <c r="F7" s="36">
        <v>6</v>
      </c>
      <c r="G7" s="37">
        <v>1</v>
      </c>
    </row>
    <row r="8" spans="1:7" s="11" customFormat="1" x14ac:dyDescent="0.25">
      <c r="A8" s="31">
        <v>202207</v>
      </c>
      <c r="B8" s="31" t="s">
        <v>13</v>
      </c>
      <c r="C8" s="31" t="s">
        <v>12</v>
      </c>
      <c r="D8" s="35">
        <v>44606</v>
      </c>
      <c r="E8" s="35">
        <v>44612</v>
      </c>
      <c r="F8" s="36">
        <v>7</v>
      </c>
      <c r="G8" s="38">
        <v>1</v>
      </c>
    </row>
    <row r="9" spans="1:7" s="11" customFormat="1" x14ac:dyDescent="0.25">
      <c r="A9" s="31">
        <v>202208</v>
      </c>
      <c r="B9" s="31" t="s">
        <v>13</v>
      </c>
      <c r="C9" s="31" t="s">
        <v>12</v>
      </c>
      <c r="D9" s="35">
        <v>44613</v>
      </c>
      <c r="E9" s="35">
        <v>44619</v>
      </c>
      <c r="F9" s="36">
        <v>8</v>
      </c>
      <c r="G9" s="37">
        <v>1</v>
      </c>
    </row>
    <row r="10" spans="1:7" s="11" customFormat="1" x14ac:dyDescent="0.25">
      <c r="A10" s="31">
        <v>202209</v>
      </c>
      <c r="B10" s="31" t="s">
        <v>13</v>
      </c>
      <c r="C10" s="31" t="s">
        <v>12</v>
      </c>
      <c r="D10" s="35">
        <v>44620</v>
      </c>
      <c r="E10" s="35">
        <v>44626</v>
      </c>
      <c r="F10" s="36">
        <v>9</v>
      </c>
      <c r="G10" s="37">
        <v>1</v>
      </c>
    </row>
    <row r="11" spans="1:7" s="11" customFormat="1" x14ac:dyDescent="0.25">
      <c r="A11" s="31">
        <v>202210</v>
      </c>
      <c r="B11" s="31" t="s">
        <v>13</v>
      </c>
      <c r="C11" s="31" t="s">
        <v>12</v>
      </c>
      <c r="D11" s="35">
        <v>44627</v>
      </c>
      <c r="E11" s="35">
        <v>44633</v>
      </c>
      <c r="F11" s="36">
        <v>10</v>
      </c>
      <c r="G11" s="38">
        <v>1</v>
      </c>
    </row>
    <row r="12" spans="1:7" s="11" customFormat="1" x14ac:dyDescent="0.25">
      <c r="A12" s="31">
        <v>202211</v>
      </c>
      <c r="B12" s="31" t="s">
        <v>13</v>
      </c>
      <c r="C12" s="31" t="s">
        <v>12</v>
      </c>
      <c r="D12" s="35">
        <v>44634</v>
      </c>
      <c r="E12" s="35">
        <v>44640</v>
      </c>
      <c r="F12" s="36">
        <v>11</v>
      </c>
      <c r="G12" s="37">
        <v>1</v>
      </c>
    </row>
    <row r="13" spans="1:7" s="11" customFormat="1" x14ac:dyDescent="0.25">
      <c r="A13" s="31">
        <v>202212</v>
      </c>
      <c r="B13" s="31" t="s">
        <v>13</v>
      </c>
      <c r="C13" s="31" t="s">
        <v>12</v>
      </c>
      <c r="D13" s="35">
        <v>44641</v>
      </c>
      <c r="E13" s="35">
        <v>44647</v>
      </c>
      <c r="F13" s="36">
        <v>12</v>
      </c>
      <c r="G13" s="37">
        <v>1</v>
      </c>
    </row>
    <row r="14" spans="1:7" s="11" customFormat="1" x14ac:dyDescent="0.25">
      <c r="A14" s="31">
        <v>202213</v>
      </c>
      <c r="B14" s="31" t="s">
        <v>13</v>
      </c>
      <c r="C14" s="31" t="s">
        <v>12</v>
      </c>
      <c r="D14" s="35">
        <v>44648</v>
      </c>
      <c r="E14" s="35">
        <v>44654</v>
      </c>
      <c r="F14" s="36">
        <v>13</v>
      </c>
      <c r="G14" s="38">
        <v>1</v>
      </c>
    </row>
    <row r="15" spans="1:7" s="11" customFormat="1" x14ac:dyDescent="0.25">
      <c r="A15" s="31">
        <v>202214</v>
      </c>
      <c r="B15" s="31" t="s">
        <v>13</v>
      </c>
      <c r="C15" s="31" t="s">
        <v>12</v>
      </c>
      <c r="D15" s="35">
        <v>44655</v>
      </c>
      <c r="E15" s="35">
        <v>44661</v>
      </c>
      <c r="F15" s="36">
        <v>14</v>
      </c>
      <c r="G15" s="37">
        <v>1</v>
      </c>
    </row>
    <row r="16" spans="1:7" s="11" customFormat="1" x14ac:dyDescent="0.25">
      <c r="A16" s="31">
        <v>202215</v>
      </c>
      <c r="B16" s="31" t="s">
        <v>13</v>
      </c>
      <c r="C16" s="31" t="s">
        <v>12</v>
      </c>
      <c r="D16" s="35">
        <v>44662</v>
      </c>
      <c r="E16" s="35">
        <v>44668</v>
      </c>
      <c r="F16" s="36">
        <v>15</v>
      </c>
      <c r="G16" s="37">
        <v>1</v>
      </c>
    </row>
    <row r="17" spans="1:7" s="11" customFormat="1" x14ac:dyDescent="0.25">
      <c r="A17" s="31">
        <v>202216</v>
      </c>
      <c r="B17" s="31" t="s">
        <v>13</v>
      </c>
      <c r="C17" s="31" t="s">
        <v>12</v>
      </c>
      <c r="D17" s="35">
        <v>44669</v>
      </c>
      <c r="E17" s="35">
        <v>44675</v>
      </c>
      <c r="F17" s="36">
        <v>16</v>
      </c>
      <c r="G17" s="38">
        <v>1</v>
      </c>
    </row>
    <row r="18" spans="1:7" s="11" customFormat="1" x14ac:dyDescent="0.25">
      <c r="A18" s="31">
        <v>202217</v>
      </c>
      <c r="B18" s="31" t="s">
        <v>13</v>
      </c>
      <c r="C18" s="31" t="s">
        <v>12</v>
      </c>
      <c r="D18" s="35">
        <v>44676</v>
      </c>
      <c r="E18" s="35">
        <v>44682</v>
      </c>
      <c r="F18" s="36">
        <v>17</v>
      </c>
      <c r="G18" s="37">
        <v>1</v>
      </c>
    </row>
    <row r="19" spans="1:7" s="11" customFormat="1" x14ac:dyDescent="0.25">
      <c r="A19" s="31">
        <v>202218</v>
      </c>
      <c r="B19" s="31" t="s">
        <v>13</v>
      </c>
      <c r="C19" s="31" t="s">
        <v>12</v>
      </c>
      <c r="D19" s="35">
        <v>44683</v>
      </c>
      <c r="E19" s="35">
        <v>44689</v>
      </c>
      <c r="F19" s="36">
        <v>18</v>
      </c>
      <c r="G19" s="37">
        <v>1</v>
      </c>
    </row>
    <row r="20" spans="1:7" s="11" customFormat="1" x14ac:dyDescent="0.25">
      <c r="A20" s="31">
        <v>202219</v>
      </c>
      <c r="B20" s="31" t="s">
        <v>13</v>
      </c>
      <c r="C20" s="31" t="s">
        <v>12</v>
      </c>
      <c r="D20" s="35">
        <v>44690</v>
      </c>
      <c r="E20" s="35">
        <v>44696</v>
      </c>
      <c r="F20" s="36">
        <v>19</v>
      </c>
      <c r="G20" s="38">
        <v>1</v>
      </c>
    </row>
    <row r="21" spans="1:7" s="11" customFormat="1" x14ac:dyDescent="0.25">
      <c r="A21" s="31">
        <v>202220</v>
      </c>
      <c r="B21" s="31" t="s">
        <v>13</v>
      </c>
      <c r="C21" s="31" t="s">
        <v>12</v>
      </c>
      <c r="D21" s="35">
        <v>44697</v>
      </c>
      <c r="E21" s="35">
        <v>44703</v>
      </c>
      <c r="F21" s="36">
        <v>20</v>
      </c>
      <c r="G21" s="37">
        <v>1</v>
      </c>
    </row>
    <row r="22" spans="1:7" s="11" customFormat="1" x14ac:dyDescent="0.25">
      <c r="A22" s="31">
        <v>202221</v>
      </c>
      <c r="B22" s="31" t="s">
        <v>13</v>
      </c>
      <c r="C22" s="31" t="s">
        <v>12</v>
      </c>
      <c r="D22" s="35">
        <v>44704</v>
      </c>
      <c r="E22" s="35">
        <v>44710</v>
      </c>
      <c r="F22" s="36">
        <v>21</v>
      </c>
      <c r="G22" s="37">
        <v>1</v>
      </c>
    </row>
    <row r="23" spans="1:7" s="11" customFormat="1" x14ac:dyDescent="0.25">
      <c r="A23" s="31">
        <v>202222</v>
      </c>
      <c r="B23" s="31" t="s">
        <v>13</v>
      </c>
      <c r="C23" s="31" t="s">
        <v>12</v>
      </c>
      <c r="D23" s="35">
        <v>44711</v>
      </c>
      <c r="E23" s="35">
        <v>44717</v>
      </c>
      <c r="F23" s="36">
        <v>22</v>
      </c>
      <c r="G23" s="38">
        <v>1</v>
      </c>
    </row>
    <row r="24" spans="1:7" s="11" customFormat="1" x14ac:dyDescent="0.25">
      <c r="A24" s="31">
        <v>202223</v>
      </c>
      <c r="B24" s="31" t="s">
        <v>13</v>
      </c>
      <c r="C24" s="31" t="s">
        <v>12</v>
      </c>
      <c r="D24" s="35">
        <v>44718</v>
      </c>
      <c r="E24" s="35">
        <v>44724</v>
      </c>
      <c r="F24" s="36">
        <v>23</v>
      </c>
      <c r="G24" s="37">
        <v>1</v>
      </c>
    </row>
    <row r="25" spans="1:7" s="11" customFormat="1" x14ac:dyDescent="0.25">
      <c r="A25" s="31">
        <v>202224</v>
      </c>
      <c r="B25" s="31" t="s">
        <v>13</v>
      </c>
      <c r="C25" s="31" t="s">
        <v>12</v>
      </c>
      <c r="D25" s="35">
        <v>44725</v>
      </c>
      <c r="E25" s="35">
        <v>44731</v>
      </c>
      <c r="F25" s="36">
        <v>24</v>
      </c>
      <c r="G25" s="37">
        <v>1</v>
      </c>
    </row>
    <row r="26" spans="1:7" s="11" customFormat="1" x14ac:dyDescent="0.25">
      <c r="A26" s="31">
        <v>202225</v>
      </c>
      <c r="B26" s="31" t="s">
        <v>13</v>
      </c>
      <c r="C26" s="31" t="s">
        <v>12</v>
      </c>
      <c r="D26" s="35">
        <v>44732</v>
      </c>
      <c r="E26" s="35">
        <v>44738</v>
      </c>
      <c r="F26" s="36">
        <v>25</v>
      </c>
      <c r="G26" s="38">
        <v>1</v>
      </c>
    </row>
    <row r="27" spans="1:7" s="11" customFormat="1" x14ac:dyDescent="0.25">
      <c r="A27" s="31">
        <v>202226</v>
      </c>
      <c r="B27" s="31" t="s">
        <v>13</v>
      </c>
      <c r="C27" s="31" t="s">
        <v>12</v>
      </c>
      <c r="D27" s="35">
        <v>44739</v>
      </c>
      <c r="E27" s="35">
        <v>44745</v>
      </c>
      <c r="F27" s="36">
        <v>26</v>
      </c>
      <c r="G27" s="37">
        <v>1</v>
      </c>
    </row>
    <row r="28" spans="1:7" s="11" customFormat="1" x14ac:dyDescent="0.25">
      <c r="A28" s="31">
        <v>202227</v>
      </c>
      <c r="B28" s="31" t="s">
        <v>13</v>
      </c>
      <c r="C28" s="31" t="s">
        <v>12</v>
      </c>
      <c r="D28" s="35">
        <v>44746</v>
      </c>
      <c r="E28" s="35">
        <v>44752</v>
      </c>
      <c r="F28" s="36">
        <v>27</v>
      </c>
      <c r="G28" s="37">
        <v>1</v>
      </c>
    </row>
    <row r="29" spans="1:7" s="11" customFormat="1" x14ac:dyDescent="0.25">
      <c r="A29" s="31">
        <v>202228</v>
      </c>
      <c r="B29" s="31" t="s">
        <v>13</v>
      </c>
      <c r="C29" s="31" t="s">
        <v>12</v>
      </c>
      <c r="D29" s="35">
        <v>44753</v>
      </c>
      <c r="E29" s="35">
        <v>44759</v>
      </c>
      <c r="F29" s="36">
        <v>28</v>
      </c>
      <c r="G29" s="38">
        <v>1</v>
      </c>
    </row>
    <row r="30" spans="1:7" s="11" customFormat="1" x14ac:dyDescent="0.25">
      <c r="A30" s="31">
        <v>202229</v>
      </c>
      <c r="B30" s="31" t="s">
        <v>13</v>
      </c>
      <c r="C30" s="31" t="s">
        <v>12</v>
      </c>
      <c r="D30" s="35">
        <v>44760</v>
      </c>
      <c r="E30" s="35">
        <v>44766</v>
      </c>
      <c r="F30" s="36">
        <v>29</v>
      </c>
      <c r="G30" s="37">
        <v>1</v>
      </c>
    </row>
    <row r="31" spans="1:7" s="11" customFormat="1" x14ac:dyDescent="0.25">
      <c r="A31" s="31">
        <v>202230</v>
      </c>
      <c r="B31" s="31" t="s">
        <v>13</v>
      </c>
      <c r="C31" s="31" t="s">
        <v>12</v>
      </c>
      <c r="D31" s="35">
        <v>44767</v>
      </c>
      <c r="E31" s="35">
        <v>44773</v>
      </c>
      <c r="F31" s="36">
        <v>30</v>
      </c>
      <c r="G31" s="37">
        <v>1</v>
      </c>
    </row>
    <row r="32" spans="1:7" s="11" customFormat="1" x14ac:dyDescent="0.25">
      <c r="A32" s="31">
        <v>202231</v>
      </c>
      <c r="B32" s="31" t="s">
        <v>13</v>
      </c>
      <c r="C32" s="31" t="s">
        <v>12</v>
      </c>
      <c r="D32" s="35">
        <v>44774</v>
      </c>
      <c r="E32" s="35">
        <v>44780</v>
      </c>
      <c r="F32" s="36">
        <v>31</v>
      </c>
      <c r="G32" s="38">
        <v>1</v>
      </c>
    </row>
    <row r="33" spans="1:7" s="11" customFormat="1" x14ac:dyDescent="0.25">
      <c r="A33" s="31">
        <v>202232</v>
      </c>
      <c r="B33" s="31" t="s">
        <v>13</v>
      </c>
      <c r="C33" s="31" t="s">
        <v>12</v>
      </c>
      <c r="D33" s="35">
        <v>44781</v>
      </c>
      <c r="E33" s="35">
        <v>44787</v>
      </c>
      <c r="F33" s="36">
        <v>32</v>
      </c>
      <c r="G33" s="37">
        <v>1</v>
      </c>
    </row>
    <row r="34" spans="1:7" s="11" customFormat="1" x14ac:dyDescent="0.25">
      <c r="A34" s="31">
        <v>202233</v>
      </c>
      <c r="B34" s="31" t="s">
        <v>13</v>
      </c>
      <c r="C34" s="31" t="s">
        <v>12</v>
      </c>
      <c r="D34" s="35">
        <v>44788</v>
      </c>
      <c r="E34" s="35">
        <v>44794</v>
      </c>
      <c r="F34" s="36">
        <v>33</v>
      </c>
      <c r="G34" s="37">
        <v>1</v>
      </c>
    </row>
    <row r="35" spans="1:7" s="11" customFormat="1" x14ac:dyDescent="0.25">
      <c r="A35" s="31">
        <v>202234</v>
      </c>
      <c r="B35" s="31" t="s">
        <v>13</v>
      </c>
      <c r="C35" s="31" t="s">
        <v>12</v>
      </c>
      <c r="D35" s="35">
        <v>44795</v>
      </c>
      <c r="E35" s="35">
        <v>44801</v>
      </c>
      <c r="F35" s="36">
        <v>34</v>
      </c>
      <c r="G35" s="38">
        <v>1</v>
      </c>
    </row>
    <row r="36" spans="1:7" s="11" customFormat="1" x14ac:dyDescent="0.25">
      <c r="A36" s="31">
        <v>202235</v>
      </c>
      <c r="B36" s="31" t="s">
        <v>13</v>
      </c>
      <c r="C36" s="31" t="s">
        <v>12</v>
      </c>
      <c r="D36" s="35">
        <v>44802</v>
      </c>
      <c r="E36" s="35">
        <v>44808</v>
      </c>
      <c r="F36" s="36">
        <v>35</v>
      </c>
      <c r="G36" s="37">
        <v>1</v>
      </c>
    </row>
    <row r="37" spans="1:7" s="11" customFormat="1" x14ac:dyDescent="0.25">
      <c r="A37" s="31">
        <v>202236</v>
      </c>
      <c r="B37" s="31" t="s">
        <v>13</v>
      </c>
      <c r="C37" s="31" t="s">
        <v>12</v>
      </c>
      <c r="D37" s="35">
        <v>44809</v>
      </c>
      <c r="E37" s="35">
        <v>44815</v>
      </c>
      <c r="F37" s="36">
        <v>36</v>
      </c>
      <c r="G37" s="37">
        <v>1</v>
      </c>
    </row>
    <row r="38" spans="1:7" s="11" customFormat="1" x14ac:dyDescent="0.25">
      <c r="A38" s="31">
        <v>202237</v>
      </c>
      <c r="B38" s="31" t="s">
        <v>13</v>
      </c>
      <c r="C38" s="31" t="s">
        <v>12</v>
      </c>
      <c r="D38" s="35">
        <v>44816</v>
      </c>
      <c r="E38" s="35">
        <v>44822</v>
      </c>
      <c r="F38" s="36">
        <v>37</v>
      </c>
      <c r="G38" s="38">
        <v>1</v>
      </c>
    </row>
    <row r="39" spans="1:7" s="11" customFormat="1" x14ac:dyDescent="0.25">
      <c r="A39" s="31">
        <v>202238</v>
      </c>
      <c r="B39" s="31" t="s">
        <v>13</v>
      </c>
      <c r="C39" s="31" t="s">
        <v>12</v>
      </c>
      <c r="D39" s="35">
        <v>44823</v>
      </c>
      <c r="E39" s="35">
        <v>44829</v>
      </c>
      <c r="F39" s="36">
        <v>38</v>
      </c>
      <c r="G39" s="37">
        <v>1</v>
      </c>
    </row>
    <row r="40" spans="1:7" s="11" customFormat="1" x14ac:dyDescent="0.25">
      <c r="A40" s="31">
        <v>202239</v>
      </c>
      <c r="B40" s="31" t="s">
        <v>13</v>
      </c>
      <c r="C40" s="31" t="s">
        <v>12</v>
      </c>
      <c r="D40" s="35">
        <v>44830</v>
      </c>
      <c r="E40" s="35">
        <v>44836</v>
      </c>
      <c r="F40" s="36">
        <v>39</v>
      </c>
      <c r="G40" s="37">
        <v>1</v>
      </c>
    </row>
    <row r="41" spans="1:7" s="11" customFormat="1" x14ac:dyDescent="0.25">
      <c r="A41" s="31">
        <v>202240</v>
      </c>
      <c r="B41" s="31" t="s">
        <v>13</v>
      </c>
      <c r="C41" s="31" t="s">
        <v>12</v>
      </c>
      <c r="D41" s="35">
        <v>44837</v>
      </c>
      <c r="E41" s="35">
        <v>44843</v>
      </c>
      <c r="F41" s="36">
        <v>40</v>
      </c>
      <c r="G41" s="38">
        <v>1</v>
      </c>
    </row>
    <row r="42" spans="1:7" s="11" customFormat="1" x14ac:dyDescent="0.25">
      <c r="A42" s="31">
        <v>202241</v>
      </c>
      <c r="B42" s="31" t="s">
        <v>13</v>
      </c>
      <c r="C42" s="31" t="s">
        <v>12</v>
      </c>
      <c r="D42" s="35">
        <v>44844</v>
      </c>
      <c r="E42" s="35">
        <v>44850</v>
      </c>
      <c r="F42" s="36">
        <v>41</v>
      </c>
      <c r="G42" s="37">
        <v>1</v>
      </c>
    </row>
    <row r="43" spans="1:7" s="11" customFormat="1" x14ac:dyDescent="0.25">
      <c r="A43" s="31">
        <v>202242</v>
      </c>
      <c r="B43" s="31" t="s">
        <v>13</v>
      </c>
      <c r="C43" s="31" t="s">
        <v>12</v>
      </c>
      <c r="D43" s="35">
        <v>44851</v>
      </c>
      <c r="E43" s="35">
        <v>44857</v>
      </c>
      <c r="F43" s="36">
        <v>42</v>
      </c>
      <c r="G43" s="37">
        <v>1</v>
      </c>
    </row>
    <row r="44" spans="1:7" s="11" customFormat="1" x14ac:dyDescent="0.25">
      <c r="A44" s="31">
        <v>202243</v>
      </c>
      <c r="B44" s="31" t="s">
        <v>13</v>
      </c>
      <c r="C44" s="31" t="s">
        <v>12</v>
      </c>
      <c r="D44" s="35">
        <v>44858</v>
      </c>
      <c r="E44" s="35">
        <v>44864</v>
      </c>
      <c r="F44" s="36">
        <v>43</v>
      </c>
      <c r="G44" s="38">
        <v>1</v>
      </c>
    </row>
    <row r="45" spans="1:7" s="11" customFormat="1" x14ac:dyDescent="0.25">
      <c r="A45" s="31">
        <v>202244</v>
      </c>
      <c r="B45" s="31" t="s">
        <v>13</v>
      </c>
      <c r="C45" s="31" t="s">
        <v>12</v>
      </c>
      <c r="D45" s="35">
        <v>44865</v>
      </c>
      <c r="E45" s="35">
        <v>44871</v>
      </c>
      <c r="F45" s="36">
        <v>44</v>
      </c>
      <c r="G45" s="37">
        <v>1</v>
      </c>
    </row>
    <row r="46" spans="1:7" s="11" customFormat="1" x14ac:dyDescent="0.25">
      <c r="A46" s="31">
        <v>202245</v>
      </c>
      <c r="B46" s="31" t="s">
        <v>13</v>
      </c>
      <c r="C46" s="31" t="s">
        <v>12</v>
      </c>
      <c r="D46" s="35">
        <v>44872</v>
      </c>
      <c r="E46" s="35">
        <v>44878</v>
      </c>
      <c r="F46" s="36">
        <v>45</v>
      </c>
      <c r="G46" s="37">
        <v>1</v>
      </c>
    </row>
    <row r="47" spans="1:7" s="11" customFormat="1" x14ac:dyDescent="0.25">
      <c r="A47" s="31">
        <v>202246</v>
      </c>
      <c r="B47" s="31" t="s">
        <v>13</v>
      </c>
      <c r="C47" s="31" t="s">
        <v>12</v>
      </c>
      <c r="D47" s="35">
        <v>44879</v>
      </c>
      <c r="E47" s="35">
        <v>44885</v>
      </c>
      <c r="F47" s="36">
        <v>46</v>
      </c>
      <c r="G47" s="38">
        <v>1</v>
      </c>
    </row>
    <row r="48" spans="1:7" s="11" customFormat="1" x14ac:dyDescent="0.25">
      <c r="A48" s="31">
        <v>202247</v>
      </c>
      <c r="B48" s="31" t="s">
        <v>13</v>
      </c>
      <c r="C48" s="31" t="s">
        <v>12</v>
      </c>
      <c r="D48" s="35">
        <v>44886</v>
      </c>
      <c r="E48" s="35">
        <v>44892</v>
      </c>
      <c r="F48" s="36">
        <v>47</v>
      </c>
      <c r="G48" s="37">
        <v>1</v>
      </c>
    </row>
    <row r="49" spans="1:7" s="11" customFormat="1" x14ac:dyDescent="0.25">
      <c r="A49" s="31">
        <v>202248</v>
      </c>
      <c r="B49" s="31" t="s">
        <v>13</v>
      </c>
      <c r="C49" s="31" t="s">
        <v>12</v>
      </c>
      <c r="D49" s="35">
        <v>44893</v>
      </c>
      <c r="E49" s="35">
        <v>44899</v>
      </c>
      <c r="F49" s="36">
        <v>48</v>
      </c>
      <c r="G49" s="37">
        <v>1</v>
      </c>
    </row>
    <row r="50" spans="1:7" s="11" customFormat="1" x14ac:dyDescent="0.25">
      <c r="A50" s="31">
        <v>202249</v>
      </c>
      <c r="B50" s="31" t="s">
        <v>13</v>
      </c>
      <c r="C50" s="31" t="s">
        <v>12</v>
      </c>
      <c r="D50" s="35">
        <v>44900</v>
      </c>
      <c r="E50" s="35">
        <v>44906</v>
      </c>
      <c r="F50" s="36">
        <v>49</v>
      </c>
      <c r="G50" s="38">
        <v>1</v>
      </c>
    </row>
    <row r="51" spans="1:7" s="11" customFormat="1" x14ac:dyDescent="0.25">
      <c r="A51" s="31">
        <v>202250</v>
      </c>
      <c r="B51" s="31" t="s">
        <v>13</v>
      </c>
      <c r="C51" s="31" t="s">
        <v>12</v>
      </c>
      <c r="D51" s="35">
        <v>44907</v>
      </c>
      <c r="E51" s="35">
        <v>44913</v>
      </c>
      <c r="F51" s="36">
        <v>50</v>
      </c>
      <c r="G51" s="37">
        <v>1</v>
      </c>
    </row>
    <row r="52" spans="1:7" s="11" customFormat="1" x14ac:dyDescent="0.25">
      <c r="A52" s="31">
        <v>202251</v>
      </c>
      <c r="B52" s="31" t="s">
        <v>13</v>
      </c>
      <c r="C52" s="31" t="s">
        <v>12</v>
      </c>
      <c r="D52" s="35">
        <v>44914</v>
      </c>
      <c r="E52" s="35">
        <v>44920</v>
      </c>
      <c r="F52" s="36">
        <v>51</v>
      </c>
      <c r="G52" s="37">
        <v>1</v>
      </c>
    </row>
    <row r="53" spans="1:7" s="11" customFormat="1" x14ac:dyDescent="0.25">
      <c r="A53" s="31">
        <v>202252</v>
      </c>
      <c r="B53" s="31" t="s">
        <v>13</v>
      </c>
      <c r="C53" s="31" t="s">
        <v>12</v>
      </c>
      <c r="D53" s="35">
        <v>44921</v>
      </c>
      <c r="E53" s="35">
        <v>44927</v>
      </c>
      <c r="F53" s="36">
        <v>52</v>
      </c>
      <c r="G53" s="38">
        <v>1</v>
      </c>
    </row>
    <row r="54" spans="1:7" s="11" customFormat="1" x14ac:dyDescent="0.25">
      <c r="A54" s="31">
        <v>202201</v>
      </c>
      <c r="B54" s="31" t="s">
        <v>13</v>
      </c>
      <c r="C54" s="31" t="s">
        <v>1050</v>
      </c>
      <c r="D54" s="35">
        <v>44564</v>
      </c>
      <c r="E54" s="35">
        <v>44570</v>
      </c>
      <c r="F54" s="36">
        <v>1</v>
      </c>
      <c r="G54" s="38">
        <v>1</v>
      </c>
    </row>
    <row r="55" spans="1:7" s="11" customFormat="1" x14ac:dyDescent="0.25">
      <c r="A55" s="31">
        <v>202202</v>
      </c>
      <c r="B55" s="31" t="s">
        <v>13</v>
      </c>
      <c r="C55" s="31" t="s">
        <v>1050</v>
      </c>
      <c r="D55" s="35">
        <v>44571</v>
      </c>
      <c r="E55" s="35">
        <v>44577</v>
      </c>
      <c r="F55" s="36">
        <v>2</v>
      </c>
      <c r="G55" s="37">
        <v>1</v>
      </c>
    </row>
    <row r="56" spans="1:7" s="11" customFormat="1" x14ac:dyDescent="0.25">
      <c r="A56" s="31">
        <v>202203</v>
      </c>
      <c r="B56" s="31" t="s">
        <v>13</v>
      </c>
      <c r="C56" s="31" t="s">
        <v>1050</v>
      </c>
      <c r="D56" s="35">
        <v>44578</v>
      </c>
      <c r="E56" s="35">
        <v>44584</v>
      </c>
      <c r="F56" s="36">
        <v>3</v>
      </c>
      <c r="G56" s="37">
        <v>1</v>
      </c>
    </row>
    <row r="57" spans="1:7" s="11" customFormat="1" x14ac:dyDescent="0.25">
      <c r="A57" s="31">
        <v>202204</v>
      </c>
      <c r="B57" s="31" t="s">
        <v>13</v>
      </c>
      <c r="C57" s="31" t="s">
        <v>1050</v>
      </c>
      <c r="D57" s="35">
        <v>44585</v>
      </c>
      <c r="E57" s="35">
        <v>44591</v>
      </c>
      <c r="F57" s="36">
        <v>4</v>
      </c>
      <c r="G57" s="38">
        <v>1</v>
      </c>
    </row>
    <row r="58" spans="1:7" s="11" customFormat="1" x14ac:dyDescent="0.25">
      <c r="A58" s="31">
        <v>202205</v>
      </c>
      <c r="B58" s="31" t="s">
        <v>13</v>
      </c>
      <c r="C58" s="31" t="s">
        <v>1050</v>
      </c>
      <c r="D58" s="35">
        <v>44592</v>
      </c>
      <c r="E58" s="35">
        <v>44598</v>
      </c>
      <c r="F58" s="36">
        <v>5</v>
      </c>
      <c r="G58" s="37">
        <v>1</v>
      </c>
    </row>
    <row r="59" spans="1:7" s="11" customFormat="1" x14ac:dyDescent="0.25">
      <c r="A59" s="31">
        <v>202206</v>
      </c>
      <c r="B59" s="31" t="s">
        <v>13</v>
      </c>
      <c r="C59" s="31" t="s">
        <v>1050</v>
      </c>
      <c r="D59" s="35">
        <v>44599</v>
      </c>
      <c r="E59" s="35">
        <v>44605</v>
      </c>
      <c r="F59" s="36">
        <v>6</v>
      </c>
      <c r="G59" s="37">
        <v>1</v>
      </c>
    </row>
    <row r="60" spans="1:7" s="11" customFormat="1" x14ac:dyDescent="0.25">
      <c r="A60" s="31">
        <v>202207</v>
      </c>
      <c r="B60" s="31" t="s">
        <v>13</v>
      </c>
      <c r="C60" s="31" t="s">
        <v>1050</v>
      </c>
      <c r="D60" s="35">
        <v>44606</v>
      </c>
      <c r="E60" s="35">
        <v>44612</v>
      </c>
      <c r="F60" s="36">
        <v>7</v>
      </c>
      <c r="G60" s="38">
        <v>1</v>
      </c>
    </row>
    <row r="61" spans="1:7" s="11" customFormat="1" x14ac:dyDescent="0.25">
      <c r="A61" s="31">
        <v>202208</v>
      </c>
      <c r="B61" s="31" t="s">
        <v>13</v>
      </c>
      <c r="C61" s="31" t="s">
        <v>1050</v>
      </c>
      <c r="D61" s="35">
        <v>44613</v>
      </c>
      <c r="E61" s="35">
        <v>44619</v>
      </c>
      <c r="F61" s="36">
        <v>8</v>
      </c>
      <c r="G61" s="37">
        <v>1</v>
      </c>
    </row>
    <row r="62" spans="1:7" s="11" customFormat="1" x14ac:dyDescent="0.25">
      <c r="A62" s="31">
        <v>202209</v>
      </c>
      <c r="B62" s="31" t="s">
        <v>13</v>
      </c>
      <c r="C62" s="31" t="s">
        <v>1050</v>
      </c>
      <c r="D62" s="35">
        <v>44620</v>
      </c>
      <c r="E62" s="35">
        <v>44626</v>
      </c>
      <c r="F62" s="36">
        <v>9</v>
      </c>
      <c r="G62" s="37">
        <v>1</v>
      </c>
    </row>
    <row r="63" spans="1:7" s="11" customFormat="1" x14ac:dyDescent="0.25">
      <c r="A63" s="31">
        <v>202210</v>
      </c>
      <c r="B63" s="31" t="s">
        <v>13</v>
      </c>
      <c r="C63" s="31" t="s">
        <v>1050</v>
      </c>
      <c r="D63" s="35">
        <v>44627</v>
      </c>
      <c r="E63" s="35">
        <v>44633</v>
      </c>
      <c r="F63" s="36">
        <v>10</v>
      </c>
      <c r="G63" s="38">
        <v>1</v>
      </c>
    </row>
    <row r="64" spans="1:7" s="11" customFormat="1" x14ac:dyDescent="0.25">
      <c r="A64" s="31">
        <v>202211</v>
      </c>
      <c r="B64" s="31" t="s">
        <v>13</v>
      </c>
      <c r="C64" s="31" t="s">
        <v>1050</v>
      </c>
      <c r="D64" s="35">
        <v>44634</v>
      </c>
      <c r="E64" s="35">
        <v>44640</v>
      </c>
      <c r="F64" s="36">
        <v>11</v>
      </c>
      <c r="G64" s="37">
        <v>1</v>
      </c>
    </row>
    <row r="65" spans="1:7" s="11" customFormat="1" x14ac:dyDescent="0.25">
      <c r="A65" s="31">
        <v>202212</v>
      </c>
      <c r="B65" s="31" t="s">
        <v>13</v>
      </c>
      <c r="C65" s="31" t="s">
        <v>1050</v>
      </c>
      <c r="D65" s="35">
        <v>44641</v>
      </c>
      <c r="E65" s="35">
        <v>44647</v>
      </c>
      <c r="F65" s="36">
        <v>12</v>
      </c>
      <c r="G65" s="37">
        <v>1</v>
      </c>
    </row>
    <row r="66" spans="1:7" s="11" customFormat="1" x14ac:dyDescent="0.25">
      <c r="A66" s="31">
        <v>202213</v>
      </c>
      <c r="B66" s="31" t="s">
        <v>13</v>
      </c>
      <c r="C66" s="31" t="s">
        <v>1050</v>
      </c>
      <c r="D66" s="35">
        <v>44648</v>
      </c>
      <c r="E66" s="35">
        <v>44654</v>
      </c>
      <c r="F66" s="36">
        <v>13</v>
      </c>
      <c r="G66" s="38">
        <v>1</v>
      </c>
    </row>
    <row r="67" spans="1:7" s="11" customFormat="1" x14ac:dyDescent="0.25">
      <c r="A67" s="31">
        <v>202214</v>
      </c>
      <c r="B67" s="31" t="s">
        <v>13</v>
      </c>
      <c r="C67" s="31" t="s">
        <v>1050</v>
      </c>
      <c r="D67" s="35">
        <v>44655</v>
      </c>
      <c r="E67" s="35">
        <v>44661</v>
      </c>
      <c r="F67" s="36">
        <v>14</v>
      </c>
      <c r="G67" s="37">
        <v>1</v>
      </c>
    </row>
    <row r="68" spans="1:7" s="11" customFormat="1" x14ac:dyDescent="0.25">
      <c r="A68" s="31">
        <v>202215</v>
      </c>
      <c r="B68" s="31" t="s">
        <v>13</v>
      </c>
      <c r="C68" s="31" t="s">
        <v>1050</v>
      </c>
      <c r="D68" s="35">
        <v>44662</v>
      </c>
      <c r="E68" s="35">
        <v>44668</v>
      </c>
      <c r="F68" s="36">
        <v>15</v>
      </c>
      <c r="G68" s="37">
        <v>1</v>
      </c>
    </row>
    <row r="69" spans="1:7" s="11" customFormat="1" x14ac:dyDescent="0.25">
      <c r="A69" s="31">
        <v>202216</v>
      </c>
      <c r="B69" s="31" t="s">
        <v>13</v>
      </c>
      <c r="C69" s="31" t="s">
        <v>1050</v>
      </c>
      <c r="D69" s="35">
        <v>44669</v>
      </c>
      <c r="E69" s="35">
        <v>44675</v>
      </c>
      <c r="F69" s="36">
        <v>16</v>
      </c>
      <c r="G69" s="38">
        <v>1</v>
      </c>
    </row>
    <row r="70" spans="1:7" s="11" customFormat="1" x14ac:dyDescent="0.25">
      <c r="A70" s="31">
        <v>202217</v>
      </c>
      <c r="B70" s="31" t="s">
        <v>13</v>
      </c>
      <c r="C70" s="31" t="s">
        <v>1050</v>
      </c>
      <c r="D70" s="35">
        <v>44676</v>
      </c>
      <c r="E70" s="35">
        <v>44682</v>
      </c>
      <c r="F70" s="36">
        <v>17</v>
      </c>
      <c r="G70" s="37">
        <v>1</v>
      </c>
    </row>
    <row r="71" spans="1:7" s="11" customFormat="1" x14ac:dyDescent="0.25">
      <c r="A71" s="31">
        <v>202218</v>
      </c>
      <c r="B71" s="31" t="s">
        <v>13</v>
      </c>
      <c r="C71" s="31" t="s">
        <v>1050</v>
      </c>
      <c r="D71" s="35">
        <v>44683</v>
      </c>
      <c r="E71" s="35">
        <v>44689</v>
      </c>
      <c r="F71" s="36">
        <v>18</v>
      </c>
      <c r="G71" s="37">
        <v>1</v>
      </c>
    </row>
    <row r="72" spans="1:7" s="11" customFormat="1" x14ac:dyDescent="0.25">
      <c r="A72" s="31">
        <v>202219</v>
      </c>
      <c r="B72" s="31" t="s">
        <v>13</v>
      </c>
      <c r="C72" s="31" t="s">
        <v>1050</v>
      </c>
      <c r="D72" s="35">
        <v>44690</v>
      </c>
      <c r="E72" s="35">
        <v>44696</v>
      </c>
      <c r="F72" s="36">
        <v>19</v>
      </c>
      <c r="G72" s="38">
        <v>1</v>
      </c>
    </row>
    <row r="73" spans="1:7" s="11" customFormat="1" x14ac:dyDescent="0.25">
      <c r="A73" s="31">
        <v>202220</v>
      </c>
      <c r="B73" s="31" t="s">
        <v>13</v>
      </c>
      <c r="C73" s="31" t="s">
        <v>1050</v>
      </c>
      <c r="D73" s="35">
        <v>44697</v>
      </c>
      <c r="E73" s="35">
        <v>44703</v>
      </c>
      <c r="F73" s="36">
        <v>20</v>
      </c>
      <c r="G73" s="37">
        <v>1</v>
      </c>
    </row>
    <row r="74" spans="1:7" s="11" customFormat="1" x14ac:dyDescent="0.25">
      <c r="A74" s="31">
        <v>202221</v>
      </c>
      <c r="B74" s="31" t="s">
        <v>13</v>
      </c>
      <c r="C74" s="31" t="s">
        <v>1050</v>
      </c>
      <c r="D74" s="35">
        <v>44704</v>
      </c>
      <c r="E74" s="35">
        <v>44710</v>
      </c>
      <c r="F74" s="36">
        <v>21</v>
      </c>
      <c r="G74" s="37">
        <v>1</v>
      </c>
    </row>
    <row r="75" spans="1:7" s="11" customFormat="1" x14ac:dyDescent="0.25">
      <c r="A75" s="31">
        <v>202222</v>
      </c>
      <c r="B75" s="31" t="s">
        <v>13</v>
      </c>
      <c r="C75" s="31" t="s">
        <v>1050</v>
      </c>
      <c r="D75" s="35">
        <v>44711</v>
      </c>
      <c r="E75" s="35">
        <v>44717</v>
      </c>
      <c r="F75" s="36">
        <v>22</v>
      </c>
      <c r="G75" s="38">
        <v>1</v>
      </c>
    </row>
    <row r="76" spans="1:7" s="11" customFormat="1" x14ac:dyDescent="0.25">
      <c r="A76" s="31">
        <v>202223</v>
      </c>
      <c r="B76" s="31" t="s">
        <v>13</v>
      </c>
      <c r="C76" s="31" t="s">
        <v>1050</v>
      </c>
      <c r="D76" s="35">
        <v>44718</v>
      </c>
      <c r="E76" s="35">
        <v>44724</v>
      </c>
      <c r="F76" s="36">
        <v>23</v>
      </c>
      <c r="G76" s="37">
        <v>1</v>
      </c>
    </row>
    <row r="77" spans="1:7" s="11" customFormat="1" x14ac:dyDescent="0.25">
      <c r="A77" s="31">
        <v>202224</v>
      </c>
      <c r="B77" s="31" t="s">
        <v>13</v>
      </c>
      <c r="C77" s="31" t="s">
        <v>1050</v>
      </c>
      <c r="D77" s="35">
        <v>44725</v>
      </c>
      <c r="E77" s="35">
        <v>44731</v>
      </c>
      <c r="F77" s="36">
        <v>24</v>
      </c>
      <c r="G77" s="37">
        <v>1</v>
      </c>
    </row>
    <row r="78" spans="1:7" s="11" customFormat="1" x14ac:dyDescent="0.25">
      <c r="A78" s="31">
        <v>202225</v>
      </c>
      <c r="B78" s="31" t="s">
        <v>13</v>
      </c>
      <c r="C78" s="31" t="s">
        <v>1050</v>
      </c>
      <c r="D78" s="35">
        <v>44732</v>
      </c>
      <c r="E78" s="35">
        <v>44738</v>
      </c>
      <c r="F78" s="36">
        <v>25</v>
      </c>
      <c r="G78" s="38">
        <v>1</v>
      </c>
    </row>
    <row r="79" spans="1:7" s="11" customFormat="1" x14ac:dyDescent="0.25">
      <c r="A79" s="31">
        <v>202226</v>
      </c>
      <c r="B79" s="31" t="s">
        <v>13</v>
      </c>
      <c r="C79" s="31" t="s">
        <v>1050</v>
      </c>
      <c r="D79" s="35">
        <v>44739</v>
      </c>
      <c r="E79" s="35">
        <v>44745</v>
      </c>
      <c r="F79" s="36">
        <v>26</v>
      </c>
      <c r="G79" s="37">
        <v>1</v>
      </c>
    </row>
    <row r="80" spans="1:7" s="11" customFormat="1" x14ac:dyDescent="0.25">
      <c r="A80" s="31">
        <v>202227</v>
      </c>
      <c r="B80" s="31" t="s">
        <v>13</v>
      </c>
      <c r="C80" s="31" t="s">
        <v>1050</v>
      </c>
      <c r="D80" s="35">
        <v>44746</v>
      </c>
      <c r="E80" s="35">
        <v>44752</v>
      </c>
      <c r="F80" s="36">
        <v>27</v>
      </c>
      <c r="G80" s="37">
        <v>1</v>
      </c>
    </row>
    <row r="81" spans="1:7" s="11" customFormat="1" x14ac:dyDescent="0.25">
      <c r="A81" s="31">
        <v>202228</v>
      </c>
      <c r="B81" s="31" t="s">
        <v>13</v>
      </c>
      <c r="C81" s="31" t="s">
        <v>1050</v>
      </c>
      <c r="D81" s="35">
        <v>44753</v>
      </c>
      <c r="E81" s="35">
        <v>44759</v>
      </c>
      <c r="F81" s="36">
        <v>28</v>
      </c>
      <c r="G81" s="38">
        <v>1</v>
      </c>
    </row>
    <row r="82" spans="1:7" s="11" customFormat="1" x14ac:dyDescent="0.25">
      <c r="A82" s="31">
        <v>202229</v>
      </c>
      <c r="B82" s="31" t="s">
        <v>13</v>
      </c>
      <c r="C82" s="31" t="s">
        <v>1050</v>
      </c>
      <c r="D82" s="35">
        <v>44760</v>
      </c>
      <c r="E82" s="35">
        <v>44766</v>
      </c>
      <c r="F82" s="36">
        <v>29</v>
      </c>
      <c r="G82" s="37">
        <v>1</v>
      </c>
    </row>
    <row r="83" spans="1:7" s="11" customFormat="1" x14ac:dyDescent="0.25">
      <c r="A83" s="31">
        <v>202230</v>
      </c>
      <c r="B83" s="31" t="s">
        <v>13</v>
      </c>
      <c r="C83" s="31" t="s">
        <v>1050</v>
      </c>
      <c r="D83" s="35">
        <v>44767</v>
      </c>
      <c r="E83" s="35">
        <v>44773</v>
      </c>
      <c r="F83" s="36">
        <v>30</v>
      </c>
      <c r="G83" s="37">
        <v>1</v>
      </c>
    </row>
    <row r="84" spans="1:7" s="11" customFormat="1" x14ac:dyDescent="0.25">
      <c r="A84" s="31">
        <v>202231</v>
      </c>
      <c r="B84" s="31" t="s">
        <v>13</v>
      </c>
      <c r="C84" s="31" t="s">
        <v>1050</v>
      </c>
      <c r="D84" s="35">
        <v>44774</v>
      </c>
      <c r="E84" s="35">
        <v>44780</v>
      </c>
      <c r="F84" s="36">
        <v>31</v>
      </c>
      <c r="G84" s="38">
        <v>1</v>
      </c>
    </row>
    <row r="85" spans="1:7" s="11" customFormat="1" x14ac:dyDescent="0.25">
      <c r="A85" s="31">
        <v>202232</v>
      </c>
      <c r="B85" s="31" t="s">
        <v>13</v>
      </c>
      <c r="C85" s="31" t="s">
        <v>1050</v>
      </c>
      <c r="D85" s="35">
        <v>44781</v>
      </c>
      <c r="E85" s="35">
        <v>44787</v>
      </c>
      <c r="F85" s="36">
        <v>32</v>
      </c>
      <c r="G85" s="37">
        <v>1</v>
      </c>
    </row>
    <row r="86" spans="1:7" s="11" customFormat="1" x14ac:dyDescent="0.25">
      <c r="A86" s="31">
        <v>202233</v>
      </c>
      <c r="B86" s="31" t="s">
        <v>13</v>
      </c>
      <c r="C86" s="31" t="s">
        <v>1050</v>
      </c>
      <c r="D86" s="35">
        <v>44788</v>
      </c>
      <c r="E86" s="35">
        <v>44794</v>
      </c>
      <c r="F86" s="36">
        <v>33</v>
      </c>
      <c r="G86" s="37">
        <v>1</v>
      </c>
    </row>
    <row r="87" spans="1:7" s="11" customFormat="1" x14ac:dyDescent="0.25">
      <c r="A87" s="31">
        <v>202234</v>
      </c>
      <c r="B87" s="31" t="s">
        <v>13</v>
      </c>
      <c r="C87" s="31" t="s">
        <v>1050</v>
      </c>
      <c r="D87" s="35">
        <v>44795</v>
      </c>
      <c r="E87" s="35">
        <v>44801</v>
      </c>
      <c r="F87" s="36">
        <v>34</v>
      </c>
      <c r="G87" s="38">
        <v>1</v>
      </c>
    </row>
    <row r="88" spans="1:7" s="11" customFormat="1" x14ac:dyDescent="0.25">
      <c r="A88" s="31">
        <v>202235</v>
      </c>
      <c r="B88" s="31" t="s">
        <v>13</v>
      </c>
      <c r="C88" s="31" t="s">
        <v>1050</v>
      </c>
      <c r="D88" s="35">
        <v>44802</v>
      </c>
      <c r="E88" s="35">
        <v>44808</v>
      </c>
      <c r="F88" s="36">
        <v>35</v>
      </c>
      <c r="G88" s="37">
        <v>1</v>
      </c>
    </row>
    <row r="89" spans="1:7" s="11" customFormat="1" x14ac:dyDescent="0.25">
      <c r="A89" s="31">
        <v>202236</v>
      </c>
      <c r="B89" s="31" t="s">
        <v>13</v>
      </c>
      <c r="C89" s="31" t="s">
        <v>1050</v>
      </c>
      <c r="D89" s="35">
        <v>44809</v>
      </c>
      <c r="E89" s="35">
        <v>44815</v>
      </c>
      <c r="F89" s="36">
        <v>36</v>
      </c>
      <c r="G89" s="37">
        <v>1</v>
      </c>
    </row>
    <row r="90" spans="1:7" s="11" customFormat="1" x14ac:dyDescent="0.25">
      <c r="A90" s="31">
        <v>202237</v>
      </c>
      <c r="B90" s="31" t="s">
        <v>13</v>
      </c>
      <c r="C90" s="31" t="s">
        <v>1050</v>
      </c>
      <c r="D90" s="35">
        <v>44816</v>
      </c>
      <c r="E90" s="35">
        <v>44822</v>
      </c>
      <c r="F90" s="36">
        <v>37</v>
      </c>
      <c r="G90" s="38">
        <v>1</v>
      </c>
    </row>
    <row r="91" spans="1:7" s="11" customFormat="1" x14ac:dyDescent="0.25">
      <c r="A91" s="31">
        <v>202238</v>
      </c>
      <c r="B91" s="31" t="s">
        <v>13</v>
      </c>
      <c r="C91" s="31" t="s">
        <v>1050</v>
      </c>
      <c r="D91" s="35">
        <v>44823</v>
      </c>
      <c r="E91" s="35">
        <v>44829</v>
      </c>
      <c r="F91" s="36">
        <v>38</v>
      </c>
      <c r="G91" s="37">
        <v>1</v>
      </c>
    </row>
    <row r="92" spans="1:7" s="11" customFormat="1" x14ac:dyDescent="0.25">
      <c r="A92" s="31">
        <v>202239</v>
      </c>
      <c r="B92" s="31" t="s">
        <v>13</v>
      </c>
      <c r="C92" s="31" t="s">
        <v>1050</v>
      </c>
      <c r="D92" s="35">
        <v>44830</v>
      </c>
      <c r="E92" s="35">
        <v>44836</v>
      </c>
      <c r="F92" s="36">
        <v>39</v>
      </c>
      <c r="G92" s="37">
        <v>1</v>
      </c>
    </row>
    <row r="93" spans="1:7" s="11" customFormat="1" x14ac:dyDescent="0.25">
      <c r="A93" s="31">
        <v>202240</v>
      </c>
      <c r="B93" s="31" t="s">
        <v>13</v>
      </c>
      <c r="C93" s="31" t="s">
        <v>1050</v>
      </c>
      <c r="D93" s="35">
        <v>44837</v>
      </c>
      <c r="E93" s="35">
        <v>44843</v>
      </c>
      <c r="F93" s="36">
        <v>40</v>
      </c>
      <c r="G93" s="38">
        <v>1</v>
      </c>
    </row>
    <row r="94" spans="1:7" s="11" customFormat="1" x14ac:dyDescent="0.25">
      <c r="A94" s="31">
        <v>202241</v>
      </c>
      <c r="B94" s="31" t="s">
        <v>13</v>
      </c>
      <c r="C94" s="31" t="s">
        <v>1050</v>
      </c>
      <c r="D94" s="35">
        <v>44844</v>
      </c>
      <c r="E94" s="35">
        <v>44850</v>
      </c>
      <c r="F94" s="36">
        <v>41</v>
      </c>
      <c r="G94" s="37">
        <v>1</v>
      </c>
    </row>
    <row r="95" spans="1:7" s="11" customFormat="1" x14ac:dyDescent="0.25">
      <c r="A95" s="31">
        <v>202242</v>
      </c>
      <c r="B95" s="31" t="s">
        <v>13</v>
      </c>
      <c r="C95" s="31" t="s">
        <v>1050</v>
      </c>
      <c r="D95" s="35">
        <v>44851</v>
      </c>
      <c r="E95" s="35">
        <v>44857</v>
      </c>
      <c r="F95" s="36">
        <v>42</v>
      </c>
      <c r="G95" s="37">
        <v>1</v>
      </c>
    </row>
    <row r="96" spans="1:7" s="11" customFormat="1" x14ac:dyDescent="0.25">
      <c r="A96" s="31">
        <v>202243</v>
      </c>
      <c r="B96" s="31" t="s">
        <v>13</v>
      </c>
      <c r="C96" s="31" t="s">
        <v>1050</v>
      </c>
      <c r="D96" s="35">
        <v>44858</v>
      </c>
      <c r="E96" s="35">
        <v>44864</v>
      </c>
      <c r="F96" s="36">
        <v>43</v>
      </c>
      <c r="G96" s="38">
        <v>1</v>
      </c>
    </row>
    <row r="97" spans="1:7" s="11" customFormat="1" x14ac:dyDescent="0.25">
      <c r="A97" s="31">
        <v>202244</v>
      </c>
      <c r="B97" s="31" t="s">
        <v>13</v>
      </c>
      <c r="C97" s="31" t="s">
        <v>1050</v>
      </c>
      <c r="D97" s="35">
        <v>44865</v>
      </c>
      <c r="E97" s="35">
        <v>44871</v>
      </c>
      <c r="F97" s="36">
        <v>44</v>
      </c>
      <c r="G97" s="37">
        <v>1</v>
      </c>
    </row>
    <row r="98" spans="1:7" s="11" customFormat="1" x14ac:dyDescent="0.25">
      <c r="A98" s="31">
        <v>202245</v>
      </c>
      <c r="B98" s="31" t="s">
        <v>13</v>
      </c>
      <c r="C98" s="31" t="s">
        <v>1050</v>
      </c>
      <c r="D98" s="35">
        <v>44872</v>
      </c>
      <c r="E98" s="35">
        <v>44878</v>
      </c>
      <c r="F98" s="36">
        <v>45</v>
      </c>
      <c r="G98" s="37">
        <v>1</v>
      </c>
    </row>
    <row r="99" spans="1:7" s="11" customFormat="1" x14ac:dyDescent="0.25">
      <c r="A99" s="31">
        <v>202246</v>
      </c>
      <c r="B99" s="31" t="s">
        <v>13</v>
      </c>
      <c r="C99" s="31" t="s">
        <v>1050</v>
      </c>
      <c r="D99" s="35">
        <v>44879</v>
      </c>
      <c r="E99" s="35">
        <v>44885</v>
      </c>
      <c r="F99" s="36">
        <v>46</v>
      </c>
      <c r="G99" s="38">
        <v>1</v>
      </c>
    </row>
    <row r="100" spans="1:7" s="11" customFormat="1" x14ac:dyDescent="0.25">
      <c r="A100" s="31">
        <v>202247</v>
      </c>
      <c r="B100" s="31" t="s">
        <v>13</v>
      </c>
      <c r="C100" s="31" t="s">
        <v>1050</v>
      </c>
      <c r="D100" s="35">
        <v>44886</v>
      </c>
      <c r="E100" s="35">
        <v>44892</v>
      </c>
      <c r="F100" s="36">
        <v>47</v>
      </c>
      <c r="G100" s="37">
        <v>1</v>
      </c>
    </row>
    <row r="101" spans="1:7" s="11" customFormat="1" x14ac:dyDescent="0.25">
      <c r="A101" s="31">
        <v>202248</v>
      </c>
      <c r="B101" s="31" t="s">
        <v>13</v>
      </c>
      <c r="C101" s="31" t="s">
        <v>1050</v>
      </c>
      <c r="D101" s="35">
        <v>44893</v>
      </c>
      <c r="E101" s="35">
        <v>44899</v>
      </c>
      <c r="F101" s="36">
        <v>48</v>
      </c>
      <c r="G101" s="37">
        <v>1</v>
      </c>
    </row>
    <row r="102" spans="1:7" s="11" customFormat="1" x14ac:dyDescent="0.25">
      <c r="A102" s="31">
        <v>202249</v>
      </c>
      <c r="B102" s="31" t="s">
        <v>13</v>
      </c>
      <c r="C102" s="31" t="s">
        <v>1050</v>
      </c>
      <c r="D102" s="35">
        <v>44900</v>
      </c>
      <c r="E102" s="35">
        <v>44906</v>
      </c>
      <c r="F102" s="36">
        <v>49</v>
      </c>
      <c r="G102" s="38">
        <v>1</v>
      </c>
    </row>
    <row r="103" spans="1:7" s="11" customFormat="1" x14ac:dyDescent="0.25">
      <c r="A103" s="31">
        <v>202250</v>
      </c>
      <c r="B103" s="31" t="s">
        <v>13</v>
      </c>
      <c r="C103" s="31" t="s">
        <v>1050</v>
      </c>
      <c r="D103" s="35">
        <v>44907</v>
      </c>
      <c r="E103" s="35">
        <v>44913</v>
      </c>
      <c r="F103" s="36">
        <v>50</v>
      </c>
      <c r="G103" s="37">
        <v>1</v>
      </c>
    </row>
    <row r="104" spans="1:7" s="11" customFormat="1" x14ac:dyDescent="0.25">
      <c r="A104" s="31">
        <v>202251</v>
      </c>
      <c r="B104" s="31" t="s">
        <v>13</v>
      </c>
      <c r="C104" s="31" t="s">
        <v>1050</v>
      </c>
      <c r="D104" s="35">
        <v>44914</v>
      </c>
      <c r="E104" s="35">
        <v>44920</v>
      </c>
      <c r="F104" s="36">
        <v>51</v>
      </c>
      <c r="G104" s="37">
        <v>1</v>
      </c>
    </row>
    <row r="105" spans="1:7" s="11" customFormat="1" x14ac:dyDescent="0.25">
      <c r="A105" s="31">
        <v>202252</v>
      </c>
      <c r="B105" s="31" t="s">
        <v>13</v>
      </c>
      <c r="C105" s="31" t="s">
        <v>1050</v>
      </c>
      <c r="D105" s="35">
        <v>44921</v>
      </c>
      <c r="E105" s="35">
        <v>44927</v>
      </c>
      <c r="F105" s="36">
        <v>52</v>
      </c>
      <c r="G105" s="38">
        <v>1</v>
      </c>
    </row>
    <row r="106" spans="1:7" s="11" customFormat="1" x14ac:dyDescent="0.25">
      <c r="A106" s="31">
        <v>202201</v>
      </c>
      <c r="B106" s="31" t="s">
        <v>13</v>
      </c>
      <c r="C106" s="31" t="s">
        <v>1464</v>
      </c>
      <c r="D106" s="35">
        <v>44564</v>
      </c>
      <c r="E106" s="35">
        <v>44570</v>
      </c>
      <c r="F106" s="36">
        <v>1</v>
      </c>
      <c r="G106" s="38">
        <v>1</v>
      </c>
    </row>
    <row r="107" spans="1:7" s="11" customFormat="1" x14ac:dyDescent="0.25">
      <c r="A107" s="31">
        <v>202202</v>
      </c>
      <c r="B107" s="31" t="s">
        <v>13</v>
      </c>
      <c r="C107" s="31" t="s">
        <v>1464</v>
      </c>
      <c r="D107" s="35">
        <v>44571</v>
      </c>
      <c r="E107" s="35">
        <v>44577</v>
      </c>
      <c r="F107" s="36">
        <v>2</v>
      </c>
      <c r="G107" s="37">
        <v>1</v>
      </c>
    </row>
    <row r="108" spans="1:7" s="11" customFormat="1" x14ac:dyDescent="0.25">
      <c r="A108" s="31">
        <v>202203</v>
      </c>
      <c r="B108" s="31" t="s">
        <v>13</v>
      </c>
      <c r="C108" s="31" t="s">
        <v>1464</v>
      </c>
      <c r="D108" s="35">
        <v>44578</v>
      </c>
      <c r="E108" s="35">
        <v>44584</v>
      </c>
      <c r="F108" s="36">
        <v>3</v>
      </c>
      <c r="G108" s="37">
        <v>1</v>
      </c>
    </row>
    <row r="109" spans="1:7" s="11" customFormat="1" x14ac:dyDescent="0.25">
      <c r="A109" s="31">
        <v>202204</v>
      </c>
      <c r="B109" s="31" t="s">
        <v>13</v>
      </c>
      <c r="C109" s="31" t="s">
        <v>1464</v>
      </c>
      <c r="D109" s="35">
        <v>44585</v>
      </c>
      <c r="E109" s="35">
        <v>44591</v>
      </c>
      <c r="F109" s="36">
        <v>4</v>
      </c>
      <c r="G109" s="38">
        <v>1</v>
      </c>
    </row>
    <row r="110" spans="1:7" s="11" customFormat="1" x14ac:dyDescent="0.25">
      <c r="A110" s="31">
        <v>202205</v>
      </c>
      <c r="B110" s="31" t="s">
        <v>13</v>
      </c>
      <c r="C110" s="31" t="s">
        <v>1464</v>
      </c>
      <c r="D110" s="35">
        <v>44592</v>
      </c>
      <c r="E110" s="35">
        <v>44598</v>
      </c>
      <c r="F110" s="36">
        <v>5</v>
      </c>
      <c r="G110" s="37">
        <v>1</v>
      </c>
    </row>
    <row r="111" spans="1:7" s="11" customFormat="1" x14ac:dyDescent="0.25">
      <c r="A111" s="31">
        <v>202206</v>
      </c>
      <c r="B111" s="31" t="s">
        <v>13</v>
      </c>
      <c r="C111" s="31" t="s">
        <v>1464</v>
      </c>
      <c r="D111" s="35">
        <v>44599</v>
      </c>
      <c r="E111" s="35">
        <v>44605</v>
      </c>
      <c r="F111" s="36">
        <v>6</v>
      </c>
      <c r="G111" s="37">
        <v>1</v>
      </c>
    </row>
    <row r="112" spans="1:7" s="11" customFormat="1" x14ac:dyDescent="0.25">
      <c r="A112" s="31">
        <v>202207</v>
      </c>
      <c r="B112" s="31" t="s">
        <v>13</v>
      </c>
      <c r="C112" s="31" t="s">
        <v>1464</v>
      </c>
      <c r="D112" s="35">
        <v>44606</v>
      </c>
      <c r="E112" s="35">
        <v>44612</v>
      </c>
      <c r="F112" s="36">
        <v>7</v>
      </c>
      <c r="G112" s="38">
        <v>1</v>
      </c>
    </row>
    <row r="113" spans="1:7" s="11" customFormat="1" x14ac:dyDescent="0.25">
      <c r="A113" s="31">
        <v>202208</v>
      </c>
      <c r="B113" s="31" t="s">
        <v>13</v>
      </c>
      <c r="C113" s="31" t="s">
        <v>1464</v>
      </c>
      <c r="D113" s="35">
        <v>44613</v>
      </c>
      <c r="E113" s="35">
        <v>44619</v>
      </c>
      <c r="F113" s="36">
        <v>8</v>
      </c>
      <c r="G113" s="37">
        <v>1</v>
      </c>
    </row>
    <row r="114" spans="1:7" s="11" customFormat="1" x14ac:dyDescent="0.25">
      <c r="A114" s="31">
        <v>202209</v>
      </c>
      <c r="B114" s="31" t="s">
        <v>13</v>
      </c>
      <c r="C114" s="31" t="s">
        <v>1464</v>
      </c>
      <c r="D114" s="35">
        <v>44620</v>
      </c>
      <c r="E114" s="35">
        <v>44626</v>
      </c>
      <c r="F114" s="36">
        <v>9</v>
      </c>
      <c r="G114" s="37">
        <v>1</v>
      </c>
    </row>
    <row r="115" spans="1:7" s="11" customFormat="1" x14ac:dyDescent="0.25">
      <c r="A115" s="31">
        <v>202210</v>
      </c>
      <c r="B115" s="31" t="s">
        <v>13</v>
      </c>
      <c r="C115" s="31" t="s">
        <v>1464</v>
      </c>
      <c r="D115" s="35">
        <v>44627</v>
      </c>
      <c r="E115" s="35">
        <v>44633</v>
      </c>
      <c r="F115" s="36">
        <v>10</v>
      </c>
      <c r="G115" s="38">
        <v>1</v>
      </c>
    </row>
    <row r="116" spans="1:7" s="11" customFormat="1" x14ac:dyDescent="0.25">
      <c r="A116" s="31">
        <v>202211</v>
      </c>
      <c r="B116" s="31" t="s">
        <v>13</v>
      </c>
      <c r="C116" s="31" t="s">
        <v>1464</v>
      </c>
      <c r="D116" s="35">
        <v>44634</v>
      </c>
      <c r="E116" s="35">
        <v>44640</v>
      </c>
      <c r="F116" s="36">
        <v>11</v>
      </c>
      <c r="G116" s="37">
        <v>1</v>
      </c>
    </row>
    <row r="117" spans="1:7" s="11" customFormat="1" x14ac:dyDescent="0.25">
      <c r="A117" s="31">
        <v>202212</v>
      </c>
      <c r="B117" s="31" t="s">
        <v>13</v>
      </c>
      <c r="C117" s="31" t="s">
        <v>1464</v>
      </c>
      <c r="D117" s="35">
        <v>44641</v>
      </c>
      <c r="E117" s="35">
        <v>44647</v>
      </c>
      <c r="F117" s="36">
        <v>12</v>
      </c>
      <c r="G117" s="37">
        <v>1</v>
      </c>
    </row>
    <row r="118" spans="1:7" s="11" customFormat="1" x14ac:dyDescent="0.25">
      <c r="A118" s="31">
        <v>202213</v>
      </c>
      <c r="B118" s="31" t="s">
        <v>13</v>
      </c>
      <c r="C118" s="31" t="s">
        <v>1464</v>
      </c>
      <c r="D118" s="35">
        <v>44648</v>
      </c>
      <c r="E118" s="35">
        <v>44654</v>
      </c>
      <c r="F118" s="36">
        <v>13</v>
      </c>
      <c r="G118" s="38">
        <v>1</v>
      </c>
    </row>
    <row r="119" spans="1:7" s="11" customFormat="1" x14ac:dyDescent="0.25">
      <c r="A119" s="31">
        <v>202214</v>
      </c>
      <c r="B119" s="31" t="s">
        <v>13</v>
      </c>
      <c r="C119" s="31" t="s">
        <v>1464</v>
      </c>
      <c r="D119" s="35">
        <v>44655</v>
      </c>
      <c r="E119" s="35">
        <v>44661</v>
      </c>
      <c r="F119" s="36">
        <v>14</v>
      </c>
      <c r="G119" s="37">
        <v>1</v>
      </c>
    </row>
    <row r="120" spans="1:7" s="11" customFormat="1" x14ac:dyDescent="0.25">
      <c r="A120" s="31">
        <v>202215</v>
      </c>
      <c r="B120" s="31" t="s">
        <v>13</v>
      </c>
      <c r="C120" s="31" t="s">
        <v>1464</v>
      </c>
      <c r="D120" s="35">
        <v>44662</v>
      </c>
      <c r="E120" s="35">
        <v>44668</v>
      </c>
      <c r="F120" s="36">
        <v>15</v>
      </c>
      <c r="G120" s="37">
        <v>1</v>
      </c>
    </row>
    <row r="121" spans="1:7" s="11" customFormat="1" x14ac:dyDescent="0.25">
      <c r="A121" s="31">
        <v>202216</v>
      </c>
      <c r="B121" s="31" t="s">
        <v>13</v>
      </c>
      <c r="C121" s="31" t="s">
        <v>1464</v>
      </c>
      <c r="D121" s="35">
        <v>44669</v>
      </c>
      <c r="E121" s="35">
        <v>44675</v>
      </c>
      <c r="F121" s="36">
        <v>16</v>
      </c>
      <c r="G121" s="38">
        <v>1</v>
      </c>
    </row>
    <row r="122" spans="1:7" s="11" customFormat="1" x14ac:dyDescent="0.25">
      <c r="A122" s="31">
        <v>202217</v>
      </c>
      <c r="B122" s="31" t="s">
        <v>13</v>
      </c>
      <c r="C122" s="31" t="s">
        <v>1464</v>
      </c>
      <c r="D122" s="35">
        <v>44676</v>
      </c>
      <c r="E122" s="35">
        <v>44682</v>
      </c>
      <c r="F122" s="36">
        <v>17</v>
      </c>
      <c r="G122" s="37">
        <v>1</v>
      </c>
    </row>
    <row r="123" spans="1:7" s="11" customFormat="1" x14ac:dyDescent="0.25">
      <c r="A123" s="31">
        <v>202218</v>
      </c>
      <c r="B123" s="31" t="s">
        <v>13</v>
      </c>
      <c r="C123" s="31" t="s">
        <v>1464</v>
      </c>
      <c r="D123" s="35">
        <v>44683</v>
      </c>
      <c r="E123" s="35">
        <v>44689</v>
      </c>
      <c r="F123" s="36">
        <v>18</v>
      </c>
      <c r="G123" s="37">
        <v>1</v>
      </c>
    </row>
    <row r="124" spans="1:7" s="11" customFormat="1" x14ac:dyDescent="0.25">
      <c r="A124" s="31">
        <v>202219</v>
      </c>
      <c r="B124" s="31" t="s">
        <v>13</v>
      </c>
      <c r="C124" s="31" t="s">
        <v>1464</v>
      </c>
      <c r="D124" s="35">
        <v>44690</v>
      </c>
      <c r="E124" s="35">
        <v>44696</v>
      </c>
      <c r="F124" s="36">
        <v>19</v>
      </c>
      <c r="G124" s="38">
        <v>1</v>
      </c>
    </row>
    <row r="125" spans="1:7" s="11" customFormat="1" x14ac:dyDescent="0.25">
      <c r="A125" s="31">
        <v>202220</v>
      </c>
      <c r="B125" s="31" t="s">
        <v>13</v>
      </c>
      <c r="C125" s="31" t="s">
        <v>1464</v>
      </c>
      <c r="D125" s="35">
        <v>44697</v>
      </c>
      <c r="E125" s="35">
        <v>44703</v>
      </c>
      <c r="F125" s="36">
        <v>20</v>
      </c>
      <c r="G125" s="37">
        <v>1</v>
      </c>
    </row>
    <row r="126" spans="1:7" s="11" customFormat="1" x14ac:dyDescent="0.25">
      <c r="A126" s="31">
        <v>202221</v>
      </c>
      <c r="B126" s="31" t="s">
        <v>13</v>
      </c>
      <c r="C126" s="31" t="s">
        <v>1464</v>
      </c>
      <c r="D126" s="35">
        <v>44704</v>
      </c>
      <c r="E126" s="35">
        <v>44710</v>
      </c>
      <c r="F126" s="36">
        <v>21</v>
      </c>
      <c r="G126" s="37">
        <v>1</v>
      </c>
    </row>
    <row r="127" spans="1:7" s="11" customFormat="1" x14ac:dyDescent="0.25">
      <c r="A127" s="31">
        <v>202222</v>
      </c>
      <c r="B127" s="31" t="s">
        <v>13</v>
      </c>
      <c r="C127" s="31" t="s">
        <v>1464</v>
      </c>
      <c r="D127" s="35">
        <v>44711</v>
      </c>
      <c r="E127" s="35">
        <v>44717</v>
      </c>
      <c r="F127" s="36">
        <v>22</v>
      </c>
      <c r="G127" s="38">
        <v>1</v>
      </c>
    </row>
    <row r="128" spans="1:7" s="11" customFormat="1" x14ac:dyDescent="0.25">
      <c r="A128" s="31">
        <v>202223</v>
      </c>
      <c r="B128" s="31" t="s">
        <v>13</v>
      </c>
      <c r="C128" s="31" t="s">
        <v>1464</v>
      </c>
      <c r="D128" s="35">
        <v>44718</v>
      </c>
      <c r="E128" s="35">
        <v>44724</v>
      </c>
      <c r="F128" s="36">
        <v>23</v>
      </c>
      <c r="G128" s="37">
        <v>1</v>
      </c>
    </row>
    <row r="129" spans="1:7" s="11" customFormat="1" x14ac:dyDescent="0.25">
      <c r="A129" s="31">
        <v>202224</v>
      </c>
      <c r="B129" s="31" t="s">
        <v>13</v>
      </c>
      <c r="C129" s="31" t="s">
        <v>1464</v>
      </c>
      <c r="D129" s="35">
        <v>44725</v>
      </c>
      <c r="E129" s="35">
        <v>44731</v>
      </c>
      <c r="F129" s="36">
        <v>24</v>
      </c>
      <c r="G129" s="37">
        <v>1</v>
      </c>
    </row>
    <row r="130" spans="1:7" s="11" customFormat="1" x14ac:dyDescent="0.25">
      <c r="A130" s="31">
        <v>202225</v>
      </c>
      <c r="B130" s="31" t="s">
        <v>13</v>
      </c>
      <c r="C130" s="31" t="s">
        <v>1464</v>
      </c>
      <c r="D130" s="35">
        <v>44732</v>
      </c>
      <c r="E130" s="35">
        <v>44738</v>
      </c>
      <c r="F130" s="36">
        <v>25</v>
      </c>
      <c r="G130" s="38">
        <v>1</v>
      </c>
    </row>
    <row r="131" spans="1:7" s="11" customFormat="1" x14ac:dyDescent="0.25">
      <c r="A131" s="31">
        <v>202226</v>
      </c>
      <c r="B131" s="31" t="s">
        <v>13</v>
      </c>
      <c r="C131" s="31" t="s">
        <v>1464</v>
      </c>
      <c r="D131" s="35">
        <v>44739</v>
      </c>
      <c r="E131" s="35">
        <v>44745</v>
      </c>
      <c r="F131" s="36">
        <v>26</v>
      </c>
      <c r="G131" s="37">
        <v>1</v>
      </c>
    </row>
    <row r="132" spans="1:7" s="11" customFormat="1" x14ac:dyDescent="0.25">
      <c r="A132" s="31">
        <v>202227</v>
      </c>
      <c r="B132" s="31" t="s">
        <v>13</v>
      </c>
      <c r="C132" s="31" t="s">
        <v>1464</v>
      </c>
      <c r="D132" s="35">
        <v>44746</v>
      </c>
      <c r="E132" s="35">
        <v>44752</v>
      </c>
      <c r="F132" s="36">
        <v>27</v>
      </c>
      <c r="G132" s="37">
        <v>1</v>
      </c>
    </row>
    <row r="133" spans="1:7" s="11" customFormat="1" x14ac:dyDescent="0.25">
      <c r="A133" s="31">
        <v>202228</v>
      </c>
      <c r="B133" s="31" t="s">
        <v>13</v>
      </c>
      <c r="C133" s="31" t="s">
        <v>1464</v>
      </c>
      <c r="D133" s="35">
        <v>44753</v>
      </c>
      <c r="E133" s="35">
        <v>44759</v>
      </c>
      <c r="F133" s="36">
        <v>28</v>
      </c>
      <c r="G133" s="38">
        <v>1</v>
      </c>
    </row>
    <row r="134" spans="1:7" s="11" customFormat="1" x14ac:dyDescent="0.25">
      <c r="A134" s="31">
        <v>202229</v>
      </c>
      <c r="B134" s="31" t="s">
        <v>13</v>
      </c>
      <c r="C134" s="31" t="s">
        <v>1464</v>
      </c>
      <c r="D134" s="35">
        <v>44760</v>
      </c>
      <c r="E134" s="35">
        <v>44766</v>
      </c>
      <c r="F134" s="36">
        <v>29</v>
      </c>
      <c r="G134" s="37">
        <v>1</v>
      </c>
    </row>
    <row r="135" spans="1:7" s="11" customFormat="1" x14ac:dyDescent="0.25">
      <c r="A135" s="31">
        <v>202230</v>
      </c>
      <c r="B135" s="31" t="s">
        <v>13</v>
      </c>
      <c r="C135" s="31" t="s">
        <v>1464</v>
      </c>
      <c r="D135" s="35">
        <v>44767</v>
      </c>
      <c r="E135" s="35">
        <v>44773</v>
      </c>
      <c r="F135" s="36">
        <v>30</v>
      </c>
      <c r="G135" s="37">
        <v>1</v>
      </c>
    </row>
    <row r="136" spans="1:7" s="11" customFormat="1" x14ac:dyDescent="0.25">
      <c r="A136" s="31">
        <v>202231</v>
      </c>
      <c r="B136" s="31" t="s">
        <v>13</v>
      </c>
      <c r="C136" s="31" t="s">
        <v>1464</v>
      </c>
      <c r="D136" s="35">
        <v>44774</v>
      </c>
      <c r="E136" s="35">
        <v>44780</v>
      </c>
      <c r="F136" s="36">
        <v>31</v>
      </c>
      <c r="G136" s="38">
        <v>1</v>
      </c>
    </row>
    <row r="137" spans="1:7" s="11" customFormat="1" x14ac:dyDescent="0.25">
      <c r="A137" s="31">
        <v>202232</v>
      </c>
      <c r="B137" s="31" t="s">
        <v>13</v>
      </c>
      <c r="C137" s="31" t="s">
        <v>1464</v>
      </c>
      <c r="D137" s="35">
        <v>44781</v>
      </c>
      <c r="E137" s="35">
        <v>44787</v>
      </c>
      <c r="F137" s="36">
        <v>32</v>
      </c>
      <c r="G137" s="37">
        <v>1</v>
      </c>
    </row>
    <row r="138" spans="1:7" s="11" customFormat="1" x14ac:dyDescent="0.25">
      <c r="A138" s="31">
        <v>202233</v>
      </c>
      <c r="B138" s="31" t="s">
        <v>13</v>
      </c>
      <c r="C138" s="31" t="s">
        <v>1464</v>
      </c>
      <c r="D138" s="35">
        <v>44788</v>
      </c>
      <c r="E138" s="35">
        <v>44794</v>
      </c>
      <c r="F138" s="36">
        <v>33</v>
      </c>
      <c r="G138" s="37">
        <v>1</v>
      </c>
    </row>
    <row r="139" spans="1:7" s="11" customFormat="1" x14ac:dyDescent="0.25">
      <c r="A139" s="31">
        <v>202234</v>
      </c>
      <c r="B139" s="31" t="s">
        <v>13</v>
      </c>
      <c r="C139" s="31" t="s">
        <v>1464</v>
      </c>
      <c r="D139" s="35">
        <v>44795</v>
      </c>
      <c r="E139" s="35">
        <v>44801</v>
      </c>
      <c r="F139" s="36">
        <v>34</v>
      </c>
      <c r="G139" s="38">
        <v>1</v>
      </c>
    </row>
    <row r="140" spans="1:7" s="11" customFormat="1" x14ac:dyDescent="0.25">
      <c r="A140" s="31">
        <v>202235</v>
      </c>
      <c r="B140" s="31" t="s">
        <v>13</v>
      </c>
      <c r="C140" s="31" t="s">
        <v>1464</v>
      </c>
      <c r="D140" s="35">
        <v>44802</v>
      </c>
      <c r="E140" s="35">
        <v>44808</v>
      </c>
      <c r="F140" s="36">
        <v>35</v>
      </c>
      <c r="G140" s="37">
        <v>1</v>
      </c>
    </row>
    <row r="141" spans="1:7" s="11" customFormat="1" x14ac:dyDescent="0.25">
      <c r="A141" s="31">
        <v>202236</v>
      </c>
      <c r="B141" s="31" t="s">
        <v>13</v>
      </c>
      <c r="C141" s="31" t="s">
        <v>1464</v>
      </c>
      <c r="D141" s="35">
        <v>44809</v>
      </c>
      <c r="E141" s="35">
        <v>44815</v>
      </c>
      <c r="F141" s="36">
        <v>36</v>
      </c>
      <c r="G141" s="37">
        <v>1</v>
      </c>
    </row>
    <row r="142" spans="1:7" s="11" customFormat="1" x14ac:dyDescent="0.25">
      <c r="A142" s="31">
        <v>202237</v>
      </c>
      <c r="B142" s="31" t="s">
        <v>13</v>
      </c>
      <c r="C142" s="31" t="s">
        <v>1464</v>
      </c>
      <c r="D142" s="35">
        <v>44816</v>
      </c>
      <c r="E142" s="35">
        <v>44822</v>
      </c>
      <c r="F142" s="36">
        <v>37</v>
      </c>
      <c r="G142" s="38">
        <v>1</v>
      </c>
    </row>
    <row r="143" spans="1:7" s="11" customFormat="1" x14ac:dyDescent="0.25">
      <c r="A143" s="31">
        <v>202238</v>
      </c>
      <c r="B143" s="31" t="s">
        <v>13</v>
      </c>
      <c r="C143" s="31" t="s">
        <v>1464</v>
      </c>
      <c r="D143" s="35">
        <v>44823</v>
      </c>
      <c r="E143" s="35">
        <v>44829</v>
      </c>
      <c r="F143" s="36">
        <v>38</v>
      </c>
      <c r="G143" s="37">
        <v>1</v>
      </c>
    </row>
    <row r="144" spans="1:7" s="11" customFormat="1" x14ac:dyDescent="0.25">
      <c r="A144" s="31">
        <v>202239</v>
      </c>
      <c r="B144" s="31" t="s">
        <v>13</v>
      </c>
      <c r="C144" s="31" t="s">
        <v>1464</v>
      </c>
      <c r="D144" s="35">
        <v>44830</v>
      </c>
      <c r="E144" s="35">
        <v>44836</v>
      </c>
      <c r="F144" s="36">
        <v>39</v>
      </c>
      <c r="G144" s="37">
        <v>1</v>
      </c>
    </row>
    <row r="145" spans="1:7" s="11" customFormat="1" x14ac:dyDescent="0.25">
      <c r="A145" s="31">
        <v>202240</v>
      </c>
      <c r="B145" s="31" t="s">
        <v>13</v>
      </c>
      <c r="C145" s="31" t="s">
        <v>1464</v>
      </c>
      <c r="D145" s="35">
        <v>44837</v>
      </c>
      <c r="E145" s="35">
        <v>44843</v>
      </c>
      <c r="F145" s="36">
        <v>40</v>
      </c>
      <c r="G145" s="38">
        <v>1</v>
      </c>
    </row>
    <row r="146" spans="1:7" s="11" customFormat="1" x14ac:dyDescent="0.25">
      <c r="A146" s="31">
        <v>202241</v>
      </c>
      <c r="B146" s="31" t="s">
        <v>13</v>
      </c>
      <c r="C146" s="31" t="s">
        <v>1464</v>
      </c>
      <c r="D146" s="35">
        <v>44844</v>
      </c>
      <c r="E146" s="35">
        <v>44850</v>
      </c>
      <c r="F146" s="36">
        <v>41</v>
      </c>
      <c r="G146" s="37">
        <v>1</v>
      </c>
    </row>
    <row r="147" spans="1:7" s="11" customFormat="1" x14ac:dyDescent="0.25">
      <c r="A147" s="31">
        <v>202242</v>
      </c>
      <c r="B147" s="31" t="s">
        <v>13</v>
      </c>
      <c r="C147" s="31" t="s">
        <v>1464</v>
      </c>
      <c r="D147" s="35">
        <v>44851</v>
      </c>
      <c r="E147" s="35">
        <v>44857</v>
      </c>
      <c r="F147" s="36">
        <v>42</v>
      </c>
      <c r="G147" s="37">
        <v>1</v>
      </c>
    </row>
    <row r="148" spans="1:7" s="11" customFormat="1" x14ac:dyDescent="0.25">
      <c r="A148" s="31">
        <v>202243</v>
      </c>
      <c r="B148" s="31" t="s">
        <v>13</v>
      </c>
      <c r="C148" s="31" t="s">
        <v>1464</v>
      </c>
      <c r="D148" s="35">
        <v>44858</v>
      </c>
      <c r="E148" s="35">
        <v>44864</v>
      </c>
      <c r="F148" s="36">
        <v>43</v>
      </c>
      <c r="G148" s="38">
        <v>1</v>
      </c>
    </row>
    <row r="149" spans="1:7" s="11" customFormat="1" x14ac:dyDescent="0.25">
      <c r="A149" s="31">
        <v>202244</v>
      </c>
      <c r="B149" s="31" t="s">
        <v>13</v>
      </c>
      <c r="C149" s="31" t="s">
        <v>1464</v>
      </c>
      <c r="D149" s="35">
        <v>44865</v>
      </c>
      <c r="E149" s="35">
        <v>44871</v>
      </c>
      <c r="F149" s="36">
        <v>44</v>
      </c>
      <c r="G149" s="37">
        <v>1</v>
      </c>
    </row>
    <row r="150" spans="1:7" s="11" customFormat="1" x14ac:dyDescent="0.25">
      <c r="A150" s="31">
        <v>202245</v>
      </c>
      <c r="B150" s="31" t="s">
        <v>13</v>
      </c>
      <c r="C150" s="31" t="s">
        <v>1464</v>
      </c>
      <c r="D150" s="35">
        <v>44872</v>
      </c>
      <c r="E150" s="35">
        <v>44878</v>
      </c>
      <c r="F150" s="36">
        <v>45</v>
      </c>
      <c r="G150" s="37">
        <v>1</v>
      </c>
    </row>
    <row r="151" spans="1:7" s="11" customFormat="1" x14ac:dyDescent="0.25">
      <c r="A151" s="31">
        <v>202246</v>
      </c>
      <c r="B151" s="31" t="s">
        <v>13</v>
      </c>
      <c r="C151" s="31" t="s">
        <v>1464</v>
      </c>
      <c r="D151" s="35">
        <v>44879</v>
      </c>
      <c r="E151" s="35">
        <v>44885</v>
      </c>
      <c r="F151" s="36">
        <v>46</v>
      </c>
      <c r="G151" s="38">
        <v>1</v>
      </c>
    </row>
    <row r="152" spans="1:7" s="11" customFormat="1" x14ac:dyDescent="0.25">
      <c r="A152" s="31">
        <v>202247</v>
      </c>
      <c r="B152" s="31" t="s">
        <v>13</v>
      </c>
      <c r="C152" s="31" t="s">
        <v>1464</v>
      </c>
      <c r="D152" s="35">
        <v>44886</v>
      </c>
      <c r="E152" s="35">
        <v>44892</v>
      </c>
      <c r="F152" s="36">
        <v>47</v>
      </c>
      <c r="G152" s="37">
        <v>1</v>
      </c>
    </row>
    <row r="153" spans="1:7" s="11" customFormat="1" x14ac:dyDescent="0.25">
      <c r="A153" s="31">
        <v>202248</v>
      </c>
      <c r="B153" s="31" t="s">
        <v>13</v>
      </c>
      <c r="C153" s="31" t="s">
        <v>1464</v>
      </c>
      <c r="D153" s="35">
        <v>44893</v>
      </c>
      <c r="E153" s="35">
        <v>44899</v>
      </c>
      <c r="F153" s="36">
        <v>48</v>
      </c>
      <c r="G153" s="37">
        <v>1</v>
      </c>
    </row>
    <row r="154" spans="1:7" s="11" customFormat="1" x14ac:dyDescent="0.25">
      <c r="A154" s="31">
        <v>202249</v>
      </c>
      <c r="B154" s="31" t="s">
        <v>13</v>
      </c>
      <c r="C154" s="31" t="s">
        <v>1464</v>
      </c>
      <c r="D154" s="35">
        <v>44900</v>
      </c>
      <c r="E154" s="35">
        <v>44906</v>
      </c>
      <c r="F154" s="36">
        <v>49</v>
      </c>
      <c r="G154" s="38">
        <v>1</v>
      </c>
    </row>
    <row r="155" spans="1:7" s="11" customFormat="1" x14ac:dyDescent="0.25">
      <c r="A155" s="31">
        <v>202250</v>
      </c>
      <c r="B155" s="31" t="s">
        <v>13</v>
      </c>
      <c r="C155" s="31" t="s">
        <v>1464</v>
      </c>
      <c r="D155" s="35">
        <v>44907</v>
      </c>
      <c r="E155" s="35">
        <v>44913</v>
      </c>
      <c r="F155" s="36">
        <v>50</v>
      </c>
      <c r="G155" s="37">
        <v>1</v>
      </c>
    </row>
    <row r="156" spans="1:7" s="11" customFormat="1" x14ac:dyDescent="0.25">
      <c r="A156" s="31">
        <v>202251</v>
      </c>
      <c r="B156" s="31" t="s">
        <v>13</v>
      </c>
      <c r="C156" s="31" t="s">
        <v>1464</v>
      </c>
      <c r="D156" s="35">
        <v>44914</v>
      </c>
      <c r="E156" s="35">
        <v>44920</v>
      </c>
      <c r="F156" s="36">
        <v>51</v>
      </c>
      <c r="G156" s="37">
        <v>1</v>
      </c>
    </row>
    <row r="157" spans="1:7" s="11" customFormat="1" x14ac:dyDescent="0.25">
      <c r="A157" s="31">
        <v>202252</v>
      </c>
      <c r="B157" s="31" t="s">
        <v>13</v>
      </c>
      <c r="C157" s="31" t="s">
        <v>1464</v>
      </c>
      <c r="D157" s="35">
        <v>44921</v>
      </c>
      <c r="E157" s="35">
        <v>44927</v>
      </c>
      <c r="F157" s="36">
        <v>52</v>
      </c>
      <c r="G157" s="38">
        <v>1</v>
      </c>
    </row>
    <row r="158" spans="1:7" s="11" customFormat="1" x14ac:dyDescent="0.25">
      <c r="A158" s="31">
        <v>202201</v>
      </c>
      <c r="B158" s="31" t="s">
        <v>13</v>
      </c>
      <c r="C158" s="31" t="s">
        <v>782</v>
      </c>
      <c r="D158" s="35">
        <v>44564</v>
      </c>
      <c r="E158" s="35">
        <v>44570</v>
      </c>
      <c r="F158" s="36">
        <v>1</v>
      </c>
      <c r="G158" s="38">
        <v>1</v>
      </c>
    </row>
    <row r="159" spans="1:7" s="11" customFormat="1" x14ac:dyDescent="0.25">
      <c r="A159" s="31">
        <v>202202</v>
      </c>
      <c r="B159" s="31" t="s">
        <v>13</v>
      </c>
      <c r="C159" s="31" t="s">
        <v>782</v>
      </c>
      <c r="D159" s="35">
        <v>44571</v>
      </c>
      <c r="E159" s="35">
        <v>44577</v>
      </c>
      <c r="F159" s="36">
        <v>2</v>
      </c>
      <c r="G159" s="37">
        <v>1</v>
      </c>
    </row>
    <row r="160" spans="1:7" s="11" customFormat="1" x14ac:dyDescent="0.25">
      <c r="A160" s="31">
        <v>202203</v>
      </c>
      <c r="B160" s="31" t="s">
        <v>13</v>
      </c>
      <c r="C160" s="31" t="s">
        <v>782</v>
      </c>
      <c r="D160" s="35">
        <v>44578</v>
      </c>
      <c r="E160" s="35">
        <v>44584</v>
      </c>
      <c r="F160" s="36">
        <v>3</v>
      </c>
      <c r="G160" s="37">
        <v>1</v>
      </c>
    </row>
    <row r="161" spans="1:7" s="11" customFormat="1" x14ac:dyDescent="0.25">
      <c r="A161" s="31">
        <v>202204</v>
      </c>
      <c r="B161" s="31" t="s">
        <v>13</v>
      </c>
      <c r="C161" s="31" t="s">
        <v>782</v>
      </c>
      <c r="D161" s="35">
        <v>44585</v>
      </c>
      <c r="E161" s="35">
        <v>44591</v>
      </c>
      <c r="F161" s="36">
        <v>4</v>
      </c>
      <c r="G161" s="38">
        <v>1</v>
      </c>
    </row>
    <row r="162" spans="1:7" s="11" customFormat="1" x14ac:dyDescent="0.25">
      <c r="A162" s="31">
        <v>202205</v>
      </c>
      <c r="B162" s="31" t="s">
        <v>13</v>
      </c>
      <c r="C162" s="31" t="s">
        <v>782</v>
      </c>
      <c r="D162" s="35">
        <v>44592</v>
      </c>
      <c r="E162" s="35">
        <v>44598</v>
      </c>
      <c r="F162" s="36">
        <v>5</v>
      </c>
      <c r="G162" s="37">
        <v>1</v>
      </c>
    </row>
    <row r="163" spans="1:7" s="11" customFormat="1" x14ac:dyDescent="0.25">
      <c r="A163" s="31">
        <v>202206</v>
      </c>
      <c r="B163" s="31" t="s">
        <v>13</v>
      </c>
      <c r="C163" s="31" t="s">
        <v>782</v>
      </c>
      <c r="D163" s="35">
        <v>44599</v>
      </c>
      <c r="E163" s="35">
        <v>44605</v>
      </c>
      <c r="F163" s="36">
        <v>6</v>
      </c>
      <c r="G163" s="37">
        <v>1</v>
      </c>
    </row>
    <row r="164" spans="1:7" s="11" customFormat="1" x14ac:dyDescent="0.25">
      <c r="A164" s="31">
        <v>202207</v>
      </c>
      <c r="B164" s="31" t="s">
        <v>13</v>
      </c>
      <c r="C164" s="31" t="s">
        <v>782</v>
      </c>
      <c r="D164" s="35">
        <v>44606</v>
      </c>
      <c r="E164" s="35">
        <v>44612</v>
      </c>
      <c r="F164" s="36">
        <v>7</v>
      </c>
      <c r="G164" s="38">
        <v>1</v>
      </c>
    </row>
    <row r="165" spans="1:7" s="11" customFormat="1" x14ac:dyDescent="0.25">
      <c r="A165" s="31">
        <v>202208</v>
      </c>
      <c r="B165" s="31" t="s">
        <v>13</v>
      </c>
      <c r="C165" s="31" t="s">
        <v>782</v>
      </c>
      <c r="D165" s="35">
        <v>44613</v>
      </c>
      <c r="E165" s="35">
        <v>44619</v>
      </c>
      <c r="F165" s="36">
        <v>8</v>
      </c>
      <c r="G165" s="37">
        <v>1</v>
      </c>
    </row>
    <row r="166" spans="1:7" s="11" customFormat="1" x14ac:dyDescent="0.25">
      <c r="A166" s="31">
        <v>202209</v>
      </c>
      <c r="B166" s="31" t="s">
        <v>13</v>
      </c>
      <c r="C166" s="31" t="s">
        <v>782</v>
      </c>
      <c r="D166" s="35">
        <v>44620</v>
      </c>
      <c r="E166" s="35">
        <v>44626</v>
      </c>
      <c r="F166" s="36">
        <v>9</v>
      </c>
      <c r="G166" s="37">
        <v>1</v>
      </c>
    </row>
    <row r="167" spans="1:7" s="11" customFormat="1" x14ac:dyDescent="0.25">
      <c r="A167" s="31">
        <v>202210</v>
      </c>
      <c r="B167" s="31" t="s">
        <v>13</v>
      </c>
      <c r="C167" s="31" t="s">
        <v>782</v>
      </c>
      <c r="D167" s="35">
        <v>44627</v>
      </c>
      <c r="E167" s="35">
        <v>44633</v>
      </c>
      <c r="F167" s="36">
        <v>10</v>
      </c>
      <c r="G167" s="38">
        <v>1</v>
      </c>
    </row>
    <row r="168" spans="1:7" s="11" customFormat="1" x14ac:dyDescent="0.25">
      <c r="A168" s="31">
        <v>202211</v>
      </c>
      <c r="B168" s="31" t="s">
        <v>13</v>
      </c>
      <c r="C168" s="31" t="s">
        <v>782</v>
      </c>
      <c r="D168" s="35">
        <v>44634</v>
      </c>
      <c r="E168" s="35">
        <v>44640</v>
      </c>
      <c r="F168" s="36">
        <v>11</v>
      </c>
      <c r="G168" s="37">
        <v>1</v>
      </c>
    </row>
    <row r="169" spans="1:7" s="11" customFormat="1" x14ac:dyDescent="0.25">
      <c r="A169" s="31">
        <v>202212</v>
      </c>
      <c r="B169" s="31" t="s">
        <v>13</v>
      </c>
      <c r="C169" s="31" t="s">
        <v>782</v>
      </c>
      <c r="D169" s="35">
        <v>44641</v>
      </c>
      <c r="E169" s="35">
        <v>44647</v>
      </c>
      <c r="F169" s="36">
        <v>12</v>
      </c>
      <c r="G169" s="37">
        <v>1</v>
      </c>
    </row>
    <row r="170" spans="1:7" s="11" customFormat="1" x14ac:dyDescent="0.25">
      <c r="A170" s="31">
        <v>202213</v>
      </c>
      <c r="B170" s="31" t="s">
        <v>13</v>
      </c>
      <c r="C170" s="31" t="s">
        <v>782</v>
      </c>
      <c r="D170" s="35">
        <v>44648</v>
      </c>
      <c r="E170" s="35">
        <v>44654</v>
      </c>
      <c r="F170" s="36">
        <v>13</v>
      </c>
      <c r="G170" s="38">
        <v>1</v>
      </c>
    </row>
    <row r="171" spans="1:7" s="11" customFormat="1" x14ac:dyDescent="0.25">
      <c r="A171" s="31">
        <v>202214</v>
      </c>
      <c r="B171" s="31" t="s">
        <v>13</v>
      </c>
      <c r="C171" s="31" t="s">
        <v>782</v>
      </c>
      <c r="D171" s="35">
        <v>44655</v>
      </c>
      <c r="E171" s="35">
        <v>44661</v>
      </c>
      <c r="F171" s="36">
        <v>14</v>
      </c>
      <c r="G171" s="37">
        <v>1</v>
      </c>
    </row>
    <row r="172" spans="1:7" s="11" customFormat="1" x14ac:dyDescent="0.25">
      <c r="A172" s="31">
        <v>202215</v>
      </c>
      <c r="B172" s="31" t="s">
        <v>13</v>
      </c>
      <c r="C172" s="31" t="s">
        <v>782</v>
      </c>
      <c r="D172" s="35">
        <v>44662</v>
      </c>
      <c r="E172" s="35">
        <v>44668</v>
      </c>
      <c r="F172" s="36">
        <v>15</v>
      </c>
      <c r="G172" s="37">
        <v>1</v>
      </c>
    </row>
    <row r="173" spans="1:7" s="11" customFormat="1" x14ac:dyDescent="0.25">
      <c r="A173" s="31">
        <v>202216</v>
      </c>
      <c r="B173" s="31" t="s">
        <v>13</v>
      </c>
      <c r="C173" s="31" t="s">
        <v>782</v>
      </c>
      <c r="D173" s="35">
        <v>44669</v>
      </c>
      <c r="E173" s="35">
        <v>44675</v>
      </c>
      <c r="F173" s="36">
        <v>16</v>
      </c>
      <c r="G173" s="38">
        <v>1</v>
      </c>
    </row>
    <row r="174" spans="1:7" s="11" customFormat="1" x14ac:dyDescent="0.25">
      <c r="A174" s="31">
        <v>202217</v>
      </c>
      <c r="B174" s="31" t="s">
        <v>13</v>
      </c>
      <c r="C174" s="31" t="s">
        <v>782</v>
      </c>
      <c r="D174" s="35">
        <v>44676</v>
      </c>
      <c r="E174" s="35">
        <v>44682</v>
      </c>
      <c r="F174" s="36">
        <v>17</v>
      </c>
      <c r="G174" s="37">
        <v>1</v>
      </c>
    </row>
    <row r="175" spans="1:7" s="11" customFormat="1" x14ac:dyDescent="0.25">
      <c r="A175" s="31">
        <v>202218</v>
      </c>
      <c r="B175" s="31" t="s">
        <v>13</v>
      </c>
      <c r="C175" s="31" t="s">
        <v>782</v>
      </c>
      <c r="D175" s="35">
        <v>44683</v>
      </c>
      <c r="E175" s="35">
        <v>44689</v>
      </c>
      <c r="F175" s="36">
        <v>18</v>
      </c>
      <c r="G175" s="37">
        <v>1</v>
      </c>
    </row>
    <row r="176" spans="1:7" s="11" customFormat="1" x14ac:dyDescent="0.25">
      <c r="A176" s="31">
        <v>202219</v>
      </c>
      <c r="B176" s="31" t="s">
        <v>13</v>
      </c>
      <c r="C176" s="31" t="s">
        <v>782</v>
      </c>
      <c r="D176" s="35">
        <v>44690</v>
      </c>
      <c r="E176" s="35">
        <v>44696</v>
      </c>
      <c r="F176" s="36">
        <v>19</v>
      </c>
      <c r="G176" s="38">
        <v>1</v>
      </c>
    </row>
    <row r="177" spans="1:7" s="11" customFormat="1" x14ac:dyDescent="0.25">
      <c r="A177" s="31">
        <v>202220</v>
      </c>
      <c r="B177" s="31" t="s">
        <v>13</v>
      </c>
      <c r="C177" s="31" t="s">
        <v>782</v>
      </c>
      <c r="D177" s="35">
        <v>44697</v>
      </c>
      <c r="E177" s="35">
        <v>44703</v>
      </c>
      <c r="F177" s="36">
        <v>20</v>
      </c>
      <c r="G177" s="37">
        <v>1</v>
      </c>
    </row>
    <row r="178" spans="1:7" s="11" customFormat="1" x14ac:dyDescent="0.25">
      <c r="A178" s="31">
        <v>202221</v>
      </c>
      <c r="B178" s="31" t="s">
        <v>13</v>
      </c>
      <c r="C178" s="31" t="s">
        <v>782</v>
      </c>
      <c r="D178" s="35">
        <v>44704</v>
      </c>
      <c r="E178" s="35">
        <v>44710</v>
      </c>
      <c r="F178" s="36">
        <v>21</v>
      </c>
      <c r="G178" s="37">
        <v>1</v>
      </c>
    </row>
    <row r="179" spans="1:7" s="11" customFormat="1" x14ac:dyDescent="0.25">
      <c r="A179" s="31">
        <v>202222</v>
      </c>
      <c r="B179" s="31" t="s">
        <v>13</v>
      </c>
      <c r="C179" s="31" t="s">
        <v>782</v>
      </c>
      <c r="D179" s="35">
        <v>44711</v>
      </c>
      <c r="E179" s="35">
        <v>44717</v>
      </c>
      <c r="F179" s="36">
        <v>22</v>
      </c>
      <c r="G179" s="38">
        <v>1</v>
      </c>
    </row>
    <row r="180" spans="1:7" s="11" customFormat="1" x14ac:dyDescent="0.25">
      <c r="A180" s="31">
        <v>202223</v>
      </c>
      <c r="B180" s="31" t="s">
        <v>13</v>
      </c>
      <c r="C180" s="31" t="s">
        <v>782</v>
      </c>
      <c r="D180" s="35">
        <v>44718</v>
      </c>
      <c r="E180" s="35">
        <v>44724</v>
      </c>
      <c r="F180" s="36">
        <v>23</v>
      </c>
      <c r="G180" s="37">
        <v>1</v>
      </c>
    </row>
    <row r="181" spans="1:7" s="11" customFormat="1" x14ac:dyDescent="0.25">
      <c r="A181" s="31">
        <v>202224</v>
      </c>
      <c r="B181" s="31" t="s">
        <v>13</v>
      </c>
      <c r="C181" s="31" t="s">
        <v>782</v>
      </c>
      <c r="D181" s="35">
        <v>44725</v>
      </c>
      <c r="E181" s="35">
        <v>44731</v>
      </c>
      <c r="F181" s="36">
        <v>24</v>
      </c>
      <c r="G181" s="37">
        <v>1</v>
      </c>
    </row>
    <row r="182" spans="1:7" s="11" customFormat="1" x14ac:dyDescent="0.25">
      <c r="A182" s="31">
        <v>202225</v>
      </c>
      <c r="B182" s="31" t="s">
        <v>13</v>
      </c>
      <c r="C182" s="31" t="s">
        <v>782</v>
      </c>
      <c r="D182" s="35">
        <v>44732</v>
      </c>
      <c r="E182" s="35">
        <v>44738</v>
      </c>
      <c r="F182" s="36">
        <v>25</v>
      </c>
      <c r="G182" s="38">
        <v>1</v>
      </c>
    </row>
    <row r="183" spans="1:7" s="11" customFormat="1" x14ac:dyDescent="0.25">
      <c r="A183" s="31">
        <v>202226</v>
      </c>
      <c r="B183" s="31" t="s">
        <v>13</v>
      </c>
      <c r="C183" s="31" t="s">
        <v>782</v>
      </c>
      <c r="D183" s="35">
        <v>44739</v>
      </c>
      <c r="E183" s="35">
        <v>44745</v>
      </c>
      <c r="F183" s="36">
        <v>26</v>
      </c>
      <c r="G183" s="37">
        <v>1</v>
      </c>
    </row>
    <row r="184" spans="1:7" s="11" customFormat="1" x14ac:dyDescent="0.25">
      <c r="A184" s="31">
        <v>202227</v>
      </c>
      <c r="B184" s="31" t="s">
        <v>13</v>
      </c>
      <c r="C184" s="31" t="s">
        <v>782</v>
      </c>
      <c r="D184" s="35">
        <v>44746</v>
      </c>
      <c r="E184" s="35">
        <v>44752</v>
      </c>
      <c r="F184" s="36">
        <v>27</v>
      </c>
      <c r="G184" s="37">
        <v>1</v>
      </c>
    </row>
    <row r="185" spans="1:7" s="11" customFormat="1" x14ac:dyDescent="0.25">
      <c r="A185" s="31">
        <v>202228</v>
      </c>
      <c r="B185" s="31" t="s">
        <v>13</v>
      </c>
      <c r="C185" s="31" t="s">
        <v>782</v>
      </c>
      <c r="D185" s="35">
        <v>44753</v>
      </c>
      <c r="E185" s="35">
        <v>44759</v>
      </c>
      <c r="F185" s="36">
        <v>28</v>
      </c>
      <c r="G185" s="38">
        <v>1</v>
      </c>
    </row>
    <row r="186" spans="1:7" s="11" customFormat="1" x14ac:dyDescent="0.25">
      <c r="A186" s="31">
        <v>202229</v>
      </c>
      <c r="B186" s="31" t="s">
        <v>13</v>
      </c>
      <c r="C186" s="31" t="s">
        <v>782</v>
      </c>
      <c r="D186" s="35">
        <v>44760</v>
      </c>
      <c r="E186" s="35">
        <v>44766</v>
      </c>
      <c r="F186" s="36">
        <v>29</v>
      </c>
      <c r="G186" s="37">
        <v>1</v>
      </c>
    </row>
    <row r="187" spans="1:7" s="11" customFormat="1" x14ac:dyDescent="0.25">
      <c r="A187" s="31">
        <v>202230</v>
      </c>
      <c r="B187" s="31" t="s">
        <v>13</v>
      </c>
      <c r="C187" s="31" t="s">
        <v>782</v>
      </c>
      <c r="D187" s="35">
        <v>44767</v>
      </c>
      <c r="E187" s="35">
        <v>44773</v>
      </c>
      <c r="F187" s="36">
        <v>30</v>
      </c>
      <c r="G187" s="37">
        <v>1</v>
      </c>
    </row>
    <row r="188" spans="1:7" s="11" customFormat="1" x14ac:dyDescent="0.25">
      <c r="A188" s="31">
        <v>202231</v>
      </c>
      <c r="B188" s="31" t="s">
        <v>13</v>
      </c>
      <c r="C188" s="31" t="s">
        <v>782</v>
      </c>
      <c r="D188" s="35">
        <v>44774</v>
      </c>
      <c r="E188" s="35">
        <v>44780</v>
      </c>
      <c r="F188" s="36">
        <v>31</v>
      </c>
      <c r="G188" s="38">
        <v>1</v>
      </c>
    </row>
    <row r="189" spans="1:7" s="11" customFormat="1" x14ac:dyDescent="0.25">
      <c r="A189" s="31">
        <v>202232</v>
      </c>
      <c r="B189" s="31" t="s">
        <v>13</v>
      </c>
      <c r="C189" s="31" t="s">
        <v>782</v>
      </c>
      <c r="D189" s="35">
        <v>44781</v>
      </c>
      <c r="E189" s="35">
        <v>44787</v>
      </c>
      <c r="F189" s="36">
        <v>32</v>
      </c>
      <c r="G189" s="37">
        <v>1</v>
      </c>
    </row>
    <row r="190" spans="1:7" s="11" customFormat="1" x14ac:dyDescent="0.25">
      <c r="A190" s="31">
        <v>202233</v>
      </c>
      <c r="B190" s="31" t="s">
        <v>13</v>
      </c>
      <c r="C190" s="31" t="s">
        <v>782</v>
      </c>
      <c r="D190" s="35">
        <v>44788</v>
      </c>
      <c r="E190" s="35">
        <v>44794</v>
      </c>
      <c r="F190" s="36">
        <v>33</v>
      </c>
      <c r="G190" s="37">
        <v>1</v>
      </c>
    </row>
    <row r="191" spans="1:7" s="11" customFormat="1" x14ac:dyDescent="0.25">
      <c r="A191" s="31">
        <v>202234</v>
      </c>
      <c r="B191" s="31" t="s">
        <v>13</v>
      </c>
      <c r="C191" s="31" t="s">
        <v>782</v>
      </c>
      <c r="D191" s="35">
        <v>44795</v>
      </c>
      <c r="E191" s="35">
        <v>44801</v>
      </c>
      <c r="F191" s="36">
        <v>34</v>
      </c>
      <c r="G191" s="38">
        <v>1</v>
      </c>
    </row>
    <row r="192" spans="1:7" s="11" customFormat="1" x14ac:dyDescent="0.25">
      <c r="A192" s="31">
        <v>202235</v>
      </c>
      <c r="B192" s="31" t="s">
        <v>13</v>
      </c>
      <c r="C192" s="31" t="s">
        <v>782</v>
      </c>
      <c r="D192" s="35">
        <v>44802</v>
      </c>
      <c r="E192" s="35">
        <v>44808</v>
      </c>
      <c r="F192" s="36">
        <v>35</v>
      </c>
      <c r="G192" s="37">
        <v>1</v>
      </c>
    </row>
    <row r="193" spans="1:7" s="11" customFormat="1" x14ac:dyDescent="0.25">
      <c r="A193" s="31">
        <v>202236</v>
      </c>
      <c r="B193" s="31" t="s">
        <v>13</v>
      </c>
      <c r="C193" s="31" t="s">
        <v>782</v>
      </c>
      <c r="D193" s="35">
        <v>44809</v>
      </c>
      <c r="E193" s="35">
        <v>44815</v>
      </c>
      <c r="F193" s="36">
        <v>36</v>
      </c>
      <c r="G193" s="37">
        <v>1</v>
      </c>
    </row>
    <row r="194" spans="1:7" s="11" customFormat="1" x14ac:dyDescent="0.25">
      <c r="A194" s="31">
        <v>202237</v>
      </c>
      <c r="B194" s="31" t="s">
        <v>13</v>
      </c>
      <c r="C194" s="31" t="s">
        <v>782</v>
      </c>
      <c r="D194" s="35">
        <v>44816</v>
      </c>
      <c r="E194" s="35">
        <v>44822</v>
      </c>
      <c r="F194" s="36">
        <v>37</v>
      </c>
      <c r="G194" s="38">
        <v>1</v>
      </c>
    </row>
    <row r="195" spans="1:7" s="11" customFormat="1" x14ac:dyDescent="0.25">
      <c r="A195" s="31">
        <v>202238</v>
      </c>
      <c r="B195" s="31" t="s">
        <v>13</v>
      </c>
      <c r="C195" s="31" t="s">
        <v>782</v>
      </c>
      <c r="D195" s="35">
        <v>44823</v>
      </c>
      <c r="E195" s="35">
        <v>44829</v>
      </c>
      <c r="F195" s="36">
        <v>38</v>
      </c>
      <c r="G195" s="37">
        <v>1</v>
      </c>
    </row>
    <row r="196" spans="1:7" s="11" customFormat="1" x14ac:dyDescent="0.25">
      <c r="A196" s="31">
        <v>202239</v>
      </c>
      <c r="B196" s="31" t="s">
        <v>13</v>
      </c>
      <c r="C196" s="31" t="s">
        <v>782</v>
      </c>
      <c r="D196" s="35">
        <v>44830</v>
      </c>
      <c r="E196" s="35">
        <v>44836</v>
      </c>
      <c r="F196" s="36">
        <v>39</v>
      </c>
      <c r="G196" s="37">
        <v>1</v>
      </c>
    </row>
    <row r="197" spans="1:7" s="11" customFormat="1" x14ac:dyDescent="0.25">
      <c r="A197" s="31">
        <v>202240</v>
      </c>
      <c r="B197" s="31" t="s">
        <v>13</v>
      </c>
      <c r="C197" s="31" t="s">
        <v>782</v>
      </c>
      <c r="D197" s="35">
        <v>44837</v>
      </c>
      <c r="E197" s="35">
        <v>44843</v>
      </c>
      <c r="F197" s="36">
        <v>40</v>
      </c>
      <c r="G197" s="38">
        <v>1</v>
      </c>
    </row>
    <row r="198" spans="1:7" s="11" customFormat="1" x14ac:dyDescent="0.25">
      <c r="A198" s="31">
        <v>202241</v>
      </c>
      <c r="B198" s="31" t="s">
        <v>13</v>
      </c>
      <c r="C198" s="31" t="s">
        <v>782</v>
      </c>
      <c r="D198" s="35">
        <v>44844</v>
      </c>
      <c r="E198" s="35">
        <v>44850</v>
      </c>
      <c r="F198" s="36">
        <v>41</v>
      </c>
      <c r="G198" s="37">
        <v>1</v>
      </c>
    </row>
    <row r="199" spans="1:7" s="11" customFormat="1" x14ac:dyDescent="0.25">
      <c r="A199" s="31">
        <v>202242</v>
      </c>
      <c r="B199" s="31" t="s">
        <v>13</v>
      </c>
      <c r="C199" s="31" t="s">
        <v>782</v>
      </c>
      <c r="D199" s="35">
        <v>44851</v>
      </c>
      <c r="E199" s="35">
        <v>44857</v>
      </c>
      <c r="F199" s="36">
        <v>42</v>
      </c>
      <c r="G199" s="37">
        <v>1</v>
      </c>
    </row>
    <row r="200" spans="1:7" s="11" customFormat="1" x14ac:dyDescent="0.25">
      <c r="A200" s="31">
        <v>202243</v>
      </c>
      <c r="B200" s="31" t="s">
        <v>13</v>
      </c>
      <c r="C200" s="31" t="s">
        <v>782</v>
      </c>
      <c r="D200" s="35">
        <v>44858</v>
      </c>
      <c r="E200" s="35">
        <v>44864</v>
      </c>
      <c r="F200" s="36">
        <v>43</v>
      </c>
      <c r="G200" s="38">
        <v>1</v>
      </c>
    </row>
    <row r="201" spans="1:7" s="11" customFormat="1" x14ac:dyDescent="0.25">
      <c r="A201" s="31">
        <v>202244</v>
      </c>
      <c r="B201" s="31" t="s">
        <v>13</v>
      </c>
      <c r="C201" s="31" t="s">
        <v>782</v>
      </c>
      <c r="D201" s="35">
        <v>44865</v>
      </c>
      <c r="E201" s="35">
        <v>44871</v>
      </c>
      <c r="F201" s="36">
        <v>44</v>
      </c>
      <c r="G201" s="37">
        <v>1</v>
      </c>
    </row>
    <row r="202" spans="1:7" s="11" customFormat="1" x14ac:dyDescent="0.25">
      <c r="A202" s="31">
        <v>202245</v>
      </c>
      <c r="B202" s="31" t="s">
        <v>13</v>
      </c>
      <c r="C202" s="31" t="s">
        <v>782</v>
      </c>
      <c r="D202" s="35">
        <v>44872</v>
      </c>
      <c r="E202" s="35">
        <v>44878</v>
      </c>
      <c r="F202" s="36">
        <v>45</v>
      </c>
      <c r="G202" s="37">
        <v>1</v>
      </c>
    </row>
    <row r="203" spans="1:7" s="11" customFormat="1" x14ac:dyDescent="0.25">
      <c r="A203" s="31">
        <v>202246</v>
      </c>
      <c r="B203" s="31" t="s">
        <v>13</v>
      </c>
      <c r="C203" s="31" t="s">
        <v>782</v>
      </c>
      <c r="D203" s="35">
        <v>44879</v>
      </c>
      <c r="E203" s="35">
        <v>44885</v>
      </c>
      <c r="F203" s="36">
        <v>46</v>
      </c>
      <c r="G203" s="38">
        <v>1</v>
      </c>
    </row>
    <row r="204" spans="1:7" s="11" customFormat="1" x14ac:dyDescent="0.25">
      <c r="A204" s="31">
        <v>202247</v>
      </c>
      <c r="B204" s="31" t="s">
        <v>13</v>
      </c>
      <c r="C204" s="31" t="s">
        <v>782</v>
      </c>
      <c r="D204" s="35">
        <v>44886</v>
      </c>
      <c r="E204" s="35">
        <v>44892</v>
      </c>
      <c r="F204" s="36">
        <v>47</v>
      </c>
      <c r="G204" s="37">
        <v>1</v>
      </c>
    </row>
    <row r="205" spans="1:7" s="11" customFormat="1" x14ac:dyDescent="0.25">
      <c r="A205" s="31">
        <v>202248</v>
      </c>
      <c r="B205" s="31" t="s">
        <v>13</v>
      </c>
      <c r="C205" s="31" t="s">
        <v>782</v>
      </c>
      <c r="D205" s="35">
        <v>44893</v>
      </c>
      <c r="E205" s="35">
        <v>44899</v>
      </c>
      <c r="F205" s="36">
        <v>48</v>
      </c>
      <c r="G205" s="37">
        <v>1</v>
      </c>
    </row>
    <row r="206" spans="1:7" s="11" customFormat="1" x14ac:dyDescent="0.25">
      <c r="A206" s="31">
        <v>202249</v>
      </c>
      <c r="B206" s="31" t="s">
        <v>13</v>
      </c>
      <c r="C206" s="31" t="s">
        <v>782</v>
      </c>
      <c r="D206" s="35">
        <v>44900</v>
      </c>
      <c r="E206" s="35">
        <v>44906</v>
      </c>
      <c r="F206" s="36">
        <v>49</v>
      </c>
      <c r="G206" s="38">
        <v>1</v>
      </c>
    </row>
    <row r="207" spans="1:7" s="11" customFormat="1" x14ac:dyDescent="0.25">
      <c r="A207" s="31">
        <v>202250</v>
      </c>
      <c r="B207" s="31" t="s">
        <v>13</v>
      </c>
      <c r="C207" s="31" t="s">
        <v>782</v>
      </c>
      <c r="D207" s="35">
        <v>44907</v>
      </c>
      <c r="E207" s="35">
        <v>44913</v>
      </c>
      <c r="F207" s="36">
        <v>50</v>
      </c>
      <c r="G207" s="37">
        <v>1</v>
      </c>
    </row>
    <row r="208" spans="1:7" s="11" customFormat="1" x14ac:dyDescent="0.25">
      <c r="A208" s="31">
        <v>202251</v>
      </c>
      <c r="B208" s="31" t="s">
        <v>13</v>
      </c>
      <c r="C208" s="31" t="s">
        <v>782</v>
      </c>
      <c r="D208" s="35">
        <v>44914</v>
      </c>
      <c r="E208" s="35">
        <v>44920</v>
      </c>
      <c r="F208" s="36">
        <v>51</v>
      </c>
      <c r="G208" s="37">
        <v>1</v>
      </c>
    </row>
    <row r="209" spans="1:7" s="11" customFormat="1" x14ac:dyDescent="0.25">
      <c r="A209" s="31">
        <v>202252</v>
      </c>
      <c r="B209" s="31" t="s">
        <v>13</v>
      </c>
      <c r="C209" s="31" t="s">
        <v>782</v>
      </c>
      <c r="D209" s="35">
        <v>44921</v>
      </c>
      <c r="E209" s="35">
        <v>44927</v>
      </c>
      <c r="F209" s="36">
        <v>52</v>
      </c>
      <c r="G209" s="38">
        <v>1</v>
      </c>
    </row>
    <row r="210" spans="1:7" s="11" customFormat="1" x14ac:dyDescent="0.25">
      <c r="A210" s="12"/>
      <c r="B210" s="13"/>
      <c r="C210" s="13"/>
      <c r="D210" s="14"/>
      <c r="E210" s="14"/>
      <c r="F210" s="14"/>
    </row>
    <row r="211" spans="1:7" s="11" customFormat="1" x14ac:dyDescent="0.25">
      <c r="A211" s="12"/>
      <c r="B211" s="13"/>
      <c r="C211" s="13"/>
      <c r="D211" s="14"/>
      <c r="E211" s="14"/>
      <c r="F211" s="14"/>
    </row>
    <row r="212" spans="1:7" s="11" customFormat="1" x14ac:dyDescent="0.25">
      <c r="A212" s="12"/>
      <c r="B212" s="13"/>
      <c r="C212" s="13"/>
      <c r="D212" s="14"/>
      <c r="E212" s="14"/>
      <c r="F212" s="14"/>
    </row>
    <row r="213" spans="1:7" s="11" customFormat="1" x14ac:dyDescent="0.25">
      <c r="A213" s="12"/>
      <c r="B213" s="13"/>
      <c r="C213" s="13"/>
      <c r="D213" s="14"/>
      <c r="E213" s="14"/>
      <c r="F213" s="14"/>
    </row>
    <row r="214" spans="1:7" s="11" customFormat="1" x14ac:dyDescent="0.25">
      <c r="A214" s="12"/>
      <c r="B214" s="13"/>
      <c r="C214" s="13"/>
      <c r="D214" s="14"/>
      <c r="E214" s="14"/>
      <c r="F214" s="14"/>
    </row>
    <row r="215" spans="1:7" s="11" customFormat="1" x14ac:dyDescent="0.25">
      <c r="A215" s="12"/>
      <c r="B215" s="13"/>
      <c r="C215" s="13"/>
      <c r="D215" s="14"/>
      <c r="E215" s="14"/>
      <c r="F215" s="14"/>
    </row>
    <row r="216" spans="1:7" s="11" customFormat="1" x14ac:dyDescent="0.25">
      <c r="A216" s="12"/>
      <c r="B216" s="13"/>
      <c r="C216" s="13"/>
      <c r="D216" s="14"/>
      <c r="E216" s="14"/>
      <c r="F216" s="14"/>
    </row>
    <row r="217" spans="1:7" s="11" customFormat="1" x14ac:dyDescent="0.25">
      <c r="A217" s="12"/>
      <c r="B217" s="13"/>
      <c r="C217" s="13"/>
      <c r="D217" s="14"/>
      <c r="E217" s="14"/>
      <c r="F217" s="14"/>
    </row>
    <row r="218" spans="1:7" s="11" customFormat="1" x14ac:dyDescent="0.25">
      <c r="A218" s="12"/>
      <c r="B218" s="13"/>
      <c r="C218" s="13"/>
      <c r="D218" s="14"/>
      <c r="E218" s="14"/>
      <c r="F218" s="14"/>
    </row>
    <row r="219" spans="1:7" s="11" customFormat="1" x14ac:dyDescent="0.25">
      <c r="A219" s="12"/>
      <c r="B219" s="13"/>
      <c r="C219" s="13"/>
      <c r="D219" s="14"/>
      <c r="E219" s="14"/>
      <c r="F219" s="14"/>
    </row>
    <row r="220" spans="1:7" s="11" customFormat="1" x14ac:dyDescent="0.25">
      <c r="A220" s="12"/>
      <c r="B220" s="13"/>
      <c r="C220" s="13"/>
      <c r="D220" s="14"/>
      <c r="E220" s="14"/>
      <c r="F220" s="14"/>
    </row>
    <row r="221" spans="1:7" s="11" customFormat="1" x14ac:dyDescent="0.25">
      <c r="A221" s="12"/>
      <c r="B221" s="13"/>
      <c r="C221" s="13"/>
      <c r="D221" s="14"/>
      <c r="E221" s="14"/>
      <c r="F221" s="14"/>
    </row>
    <row r="222" spans="1:7" s="11" customFormat="1" x14ac:dyDescent="0.25">
      <c r="A222" s="12"/>
      <c r="B222" s="13"/>
      <c r="C222" s="13"/>
      <c r="D222" s="14"/>
      <c r="E222" s="14"/>
      <c r="F222" s="14"/>
    </row>
    <row r="223" spans="1:7" s="11" customFormat="1" x14ac:dyDescent="0.25">
      <c r="A223" s="12"/>
      <c r="B223" s="13"/>
      <c r="C223" s="13"/>
      <c r="D223" s="14"/>
      <c r="E223" s="14"/>
      <c r="F223" s="14"/>
    </row>
    <row r="224" spans="1:7" s="11" customFormat="1" x14ac:dyDescent="0.25">
      <c r="A224" s="12"/>
      <c r="B224" s="13"/>
      <c r="C224" s="13"/>
      <c r="D224" s="14"/>
      <c r="E224" s="14"/>
      <c r="F224" s="14"/>
    </row>
    <row r="225" spans="1:6" s="11" customFormat="1" x14ac:dyDescent="0.25">
      <c r="A225" s="12"/>
      <c r="B225" s="13"/>
      <c r="C225" s="13"/>
      <c r="D225" s="14"/>
      <c r="E225" s="14"/>
      <c r="F225" s="14"/>
    </row>
    <row r="226" spans="1:6" s="11" customFormat="1" x14ac:dyDescent="0.25">
      <c r="A226" s="12"/>
      <c r="B226" s="13"/>
      <c r="C226" s="13"/>
      <c r="D226" s="14"/>
      <c r="E226" s="14"/>
      <c r="F226" s="14"/>
    </row>
    <row r="227" spans="1:6" s="11" customFormat="1" x14ac:dyDescent="0.25">
      <c r="A227" s="12"/>
      <c r="B227" s="13"/>
      <c r="C227" s="13"/>
      <c r="D227" s="14"/>
      <c r="E227" s="14"/>
      <c r="F227" s="14"/>
    </row>
    <row r="228" spans="1:6" s="11" customFormat="1" x14ac:dyDescent="0.25">
      <c r="A228" s="12"/>
      <c r="B228" s="13"/>
      <c r="C228" s="13"/>
      <c r="D228" s="14"/>
      <c r="E228" s="14"/>
      <c r="F228" s="14"/>
    </row>
    <row r="229" spans="1:6" s="11" customFormat="1" x14ac:dyDescent="0.25">
      <c r="A229" s="12"/>
      <c r="B229" s="13"/>
      <c r="C229" s="13"/>
      <c r="D229" s="14"/>
      <c r="E229" s="14"/>
      <c r="F229" s="14"/>
    </row>
    <row r="230" spans="1:6" s="11" customFormat="1" x14ac:dyDescent="0.25">
      <c r="A230" s="12"/>
      <c r="B230" s="13"/>
      <c r="C230" s="13"/>
      <c r="D230" s="14"/>
      <c r="E230" s="14"/>
      <c r="F230" s="14"/>
    </row>
    <row r="231" spans="1:6" s="11" customFormat="1" x14ac:dyDescent="0.25">
      <c r="A231" s="12"/>
      <c r="B231" s="13"/>
      <c r="C231" s="13"/>
      <c r="D231" s="14"/>
      <c r="E231" s="14"/>
      <c r="F231" s="14"/>
    </row>
    <row r="232" spans="1:6" s="11" customFormat="1" x14ac:dyDescent="0.25">
      <c r="A232" s="12"/>
      <c r="B232" s="13"/>
      <c r="C232" s="13"/>
      <c r="D232" s="14"/>
      <c r="E232" s="14"/>
      <c r="F232" s="14"/>
    </row>
    <row r="233" spans="1:6" s="11" customFormat="1" x14ac:dyDescent="0.25">
      <c r="A233" s="12"/>
      <c r="B233" s="13"/>
      <c r="C233" s="13"/>
      <c r="D233" s="14"/>
      <c r="E233" s="14"/>
      <c r="F233" s="14"/>
    </row>
    <row r="234" spans="1:6" s="11" customFormat="1" x14ac:dyDescent="0.25">
      <c r="A234" s="12"/>
      <c r="B234" s="13"/>
      <c r="C234" s="13"/>
      <c r="D234" s="14"/>
      <c r="E234" s="14"/>
      <c r="F234" s="14"/>
    </row>
    <row r="235" spans="1:6" s="11" customFormat="1" x14ac:dyDescent="0.25">
      <c r="A235" s="12"/>
      <c r="B235" s="13"/>
      <c r="C235" s="13"/>
      <c r="D235" s="14"/>
      <c r="E235" s="14"/>
      <c r="F235" s="14"/>
    </row>
    <row r="236" spans="1:6" s="11" customFormat="1" x14ac:dyDescent="0.25">
      <c r="A236" s="12"/>
      <c r="B236" s="13"/>
      <c r="C236" s="13"/>
      <c r="D236" s="14"/>
      <c r="E236" s="14"/>
      <c r="F236" s="14"/>
    </row>
    <row r="237" spans="1:6" s="11" customFormat="1" x14ac:dyDescent="0.25">
      <c r="A237" s="12"/>
      <c r="B237" s="13"/>
      <c r="C237" s="13"/>
      <c r="D237" s="14"/>
      <c r="E237" s="14"/>
      <c r="F237" s="14"/>
    </row>
    <row r="238" spans="1:6" s="11" customFormat="1" x14ac:dyDescent="0.25">
      <c r="A238" s="12"/>
      <c r="B238" s="13"/>
      <c r="C238" s="13"/>
      <c r="D238" s="14"/>
      <c r="E238" s="14"/>
      <c r="F238" s="14"/>
    </row>
    <row r="239" spans="1:6" s="11" customFormat="1" x14ac:dyDescent="0.25">
      <c r="A239" s="12"/>
      <c r="B239" s="13"/>
      <c r="C239" s="13"/>
      <c r="D239" s="14"/>
      <c r="E239" s="14"/>
      <c r="F239" s="14"/>
    </row>
    <row r="240" spans="1:6" s="11" customFormat="1" x14ac:dyDescent="0.25">
      <c r="A240" s="12"/>
      <c r="B240" s="13"/>
      <c r="C240" s="13"/>
      <c r="D240" s="14"/>
      <c r="E240" s="14"/>
      <c r="F240" s="14"/>
    </row>
    <row r="241" spans="1:6" s="11" customFormat="1" x14ac:dyDescent="0.25">
      <c r="A241" s="12"/>
      <c r="B241" s="13"/>
      <c r="C241" s="13"/>
      <c r="D241" s="14"/>
      <c r="E241" s="14"/>
      <c r="F241" s="14"/>
    </row>
    <row r="242" spans="1:6" s="11" customFormat="1" x14ac:dyDescent="0.25">
      <c r="A242" s="12"/>
      <c r="B242" s="13"/>
      <c r="C242" s="13"/>
      <c r="D242" s="14"/>
      <c r="E242" s="14"/>
      <c r="F242" s="14"/>
    </row>
    <row r="243" spans="1:6" s="11" customFormat="1" x14ac:dyDescent="0.25">
      <c r="A243" s="12"/>
      <c r="B243" s="13"/>
      <c r="C243" s="13"/>
      <c r="D243" s="14"/>
      <c r="E243" s="14"/>
      <c r="F243" s="14"/>
    </row>
    <row r="244" spans="1:6" s="11" customFormat="1" x14ac:dyDescent="0.25">
      <c r="A244" s="12"/>
      <c r="B244" s="13"/>
      <c r="C244" s="13"/>
      <c r="D244" s="14"/>
      <c r="E244" s="14"/>
      <c r="F244" s="14"/>
    </row>
    <row r="245" spans="1:6" s="11" customFormat="1" x14ac:dyDescent="0.25">
      <c r="A245" s="12"/>
      <c r="B245" s="13"/>
      <c r="C245" s="13"/>
      <c r="D245" s="14"/>
      <c r="E245" s="14"/>
      <c r="F245" s="14"/>
    </row>
    <row r="246" spans="1:6" s="11" customFormat="1" x14ac:dyDescent="0.25">
      <c r="A246" s="12"/>
      <c r="B246" s="13"/>
      <c r="C246" s="13"/>
      <c r="D246" s="14"/>
      <c r="E246" s="14"/>
      <c r="F246" s="14"/>
    </row>
    <row r="247" spans="1:6" s="11" customFormat="1" x14ac:dyDescent="0.25">
      <c r="A247" s="12"/>
      <c r="B247" s="13"/>
      <c r="C247" s="13"/>
      <c r="D247" s="14"/>
      <c r="E247" s="14"/>
      <c r="F247" s="14"/>
    </row>
    <row r="248" spans="1:6" s="11" customFormat="1" x14ac:dyDescent="0.25">
      <c r="A248" s="12"/>
      <c r="B248" s="13"/>
      <c r="C248" s="13"/>
      <c r="D248" s="14"/>
      <c r="E248" s="14"/>
      <c r="F248" s="14"/>
    </row>
    <row r="249" spans="1:6" s="11" customFormat="1" x14ac:dyDescent="0.25">
      <c r="A249" s="12"/>
      <c r="B249" s="13"/>
      <c r="C249" s="13"/>
      <c r="D249" s="14"/>
      <c r="E249" s="14"/>
      <c r="F249" s="14"/>
    </row>
    <row r="250" spans="1:6" s="11" customFormat="1" x14ac:dyDescent="0.25">
      <c r="A250" s="12"/>
      <c r="B250" s="13"/>
      <c r="C250" s="13"/>
      <c r="D250" s="14"/>
      <c r="E250" s="14"/>
      <c r="F250" s="14"/>
    </row>
    <row r="251" spans="1:6" s="11" customFormat="1" x14ac:dyDescent="0.25">
      <c r="A251" s="12"/>
      <c r="B251" s="13"/>
      <c r="C251" s="13"/>
      <c r="D251" s="14"/>
      <c r="E251" s="14"/>
      <c r="F251" s="14"/>
    </row>
    <row r="252" spans="1:6" s="11" customFormat="1" x14ac:dyDescent="0.25">
      <c r="A252" s="12"/>
      <c r="B252" s="13"/>
      <c r="C252" s="13"/>
      <c r="D252" s="14"/>
      <c r="E252" s="14"/>
      <c r="F252" s="14"/>
    </row>
    <row r="253" spans="1:6" s="11" customFormat="1" x14ac:dyDescent="0.25">
      <c r="A253" s="12"/>
      <c r="B253" s="13"/>
      <c r="C253" s="13"/>
      <c r="D253" s="14"/>
      <c r="E253" s="14"/>
      <c r="F253" s="14"/>
    </row>
    <row r="254" spans="1:6" s="11" customFormat="1" x14ac:dyDescent="0.25">
      <c r="A254" s="12"/>
      <c r="B254" s="13"/>
      <c r="C254" s="13"/>
      <c r="D254" s="14"/>
      <c r="E254" s="14"/>
      <c r="F254" s="14"/>
    </row>
    <row r="255" spans="1:6" s="11" customFormat="1" x14ac:dyDescent="0.25">
      <c r="A255" s="12"/>
      <c r="B255" s="13"/>
      <c r="C255" s="13"/>
      <c r="D255" s="14"/>
      <c r="E255" s="14"/>
      <c r="F255" s="14"/>
    </row>
    <row r="256" spans="1:6" s="11" customFormat="1" x14ac:dyDescent="0.25">
      <c r="A256" s="12"/>
      <c r="B256" s="13"/>
      <c r="C256" s="13"/>
      <c r="D256" s="14"/>
      <c r="E256" s="14"/>
      <c r="F256" s="14"/>
    </row>
    <row r="257" spans="1:6" s="11" customFormat="1" x14ac:dyDescent="0.25">
      <c r="A257" s="12"/>
      <c r="B257" s="13"/>
      <c r="C257" s="13"/>
      <c r="D257" s="14"/>
      <c r="E257" s="14"/>
      <c r="F257" s="14"/>
    </row>
    <row r="258" spans="1:6" s="11" customFormat="1" x14ac:dyDescent="0.25">
      <c r="A258" s="12"/>
      <c r="B258" s="13"/>
      <c r="C258" s="13"/>
      <c r="D258" s="14"/>
      <c r="E258" s="14"/>
      <c r="F258" s="14"/>
    </row>
    <row r="259" spans="1:6" s="11" customFormat="1" x14ac:dyDescent="0.25">
      <c r="A259" s="12"/>
      <c r="B259" s="13"/>
      <c r="C259" s="13"/>
      <c r="D259" s="14"/>
      <c r="E259" s="14"/>
      <c r="F259" s="14"/>
    </row>
    <row r="260" spans="1:6" s="11" customFormat="1" x14ac:dyDescent="0.25">
      <c r="A260" s="12"/>
      <c r="B260" s="13"/>
      <c r="C260" s="13"/>
      <c r="D260" s="14"/>
      <c r="E260" s="14"/>
      <c r="F260" s="14"/>
    </row>
    <row r="261" spans="1:6" s="11" customFormat="1" x14ac:dyDescent="0.25">
      <c r="A261" s="12"/>
      <c r="B261" s="13"/>
      <c r="C261" s="13"/>
      <c r="D261" s="14"/>
      <c r="E261" s="14"/>
      <c r="F261" s="14"/>
    </row>
    <row r="262" spans="1:6" s="11" customFormat="1" x14ac:dyDescent="0.25">
      <c r="A262" s="12"/>
      <c r="B262" s="13"/>
      <c r="C262" s="13"/>
      <c r="D262" s="14"/>
      <c r="E262" s="14"/>
      <c r="F262" s="14"/>
    </row>
    <row r="263" spans="1:6" s="11" customFormat="1" x14ac:dyDescent="0.25">
      <c r="A263" s="12"/>
      <c r="B263" s="13"/>
      <c r="C263" s="13"/>
      <c r="D263" s="14"/>
      <c r="E263" s="14"/>
      <c r="F263" s="14"/>
    </row>
    <row r="264" spans="1:6" s="11" customFormat="1" x14ac:dyDescent="0.25">
      <c r="A264" s="12"/>
      <c r="B264" s="13"/>
      <c r="C264" s="13"/>
      <c r="D264" s="14"/>
      <c r="E264" s="14"/>
      <c r="F264" s="14"/>
    </row>
    <row r="265" spans="1:6" s="11" customFormat="1" x14ac:dyDescent="0.25">
      <c r="A265" s="12"/>
      <c r="B265" s="13"/>
      <c r="C265" s="13"/>
      <c r="D265" s="14"/>
      <c r="E265" s="14"/>
      <c r="F265" s="14"/>
    </row>
    <row r="266" spans="1:6" s="11" customFormat="1" x14ac:dyDescent="0.25">
      <c r="A266" s="12"/>
      <c r="B266" s="13"/>
      <c r="C266" s="13"/>
      <c r="D266" s="14"/>
      <c r="E266" s="14"/>
      <c r="F266" s="14"/>
    </row>
    <row r="267" spans="1:6" s="11" customFormat="1" x14ac:dyDescent="0.25">
      <c r="A267" s="12"/>
      <c r="B267" s="13"/>
      <c r="C267" s="13"/>
      <c r="D267" s="14"/>
      <c r="E267" s="14"/>
      <c r="F267" s="14"/>
    </row>
    <row r="268" spans="1:6" s="11" customFormat="1" x14ac:dyDescent="0.25">
      <c r="A268" s="12"/>
      <c r="B268" s="13"/>
      <c r="C268" s="13"/>
      <c r="D268" s="14"/>
      <c r="E268" s="14"/>
      <c r="F268" s="14"/>
    </row>
    <row r="269" spans="1:6" s="11" customFormat="1" x14ac:dyDescent="0.25">
      <c r="A269" s="12"/>
      <c r="B269" s="13"/>
      <c r="C269" s="13"/>
      <c r="D269" s="14"/>
      <c r="E269" s="14"/>
      <c r="F269" s="14"/>
    </row>
    <row r="270" spans="1:6" s="11" customFormat="1" x14ac:dyDescent="0.25">
      <c r="A270" s="12"/>
      <c r="B270" s="13"/>
      <c r="C270" s="13"/>
      <c r="D270" s="14"/>
      <c r="E270" s="14"/>
      <c r="F270" s="14"/>
    </row>
    <row r="271" spans="1:6" s="11" customFormat="1" x14ac:dyDescent="0.25">
      <c r="A271" s="12"/>
      <c r="B271" s="13"/>
      <c r="C271" s="13"/>
      <c r="D271" s="14"/>
      <c r="E271" s="14"/>
      <c r="F271" s="14"/>
    </row>
    <row r="272" spans="1:6" s="11" customFormat="1" x14ac:dyDescent="0.25">
      <c r="A272" s="12"/>
      <c r="B272" s="13"/>
      <c r="C272" s="13"/>
      <c r="D272" s="14"/>
      <c r="E272" s="14"/>
      <c r="F272" s="14"/>
    </row>
    <row r="273" spans="1:6" s="11" customFormat="1" x14ac:dyDescent="0.25">
      <c r="A273" s="12"/>
      <c r="B273" s="13"/>
      <c r="C273" s="13"/>
      <c r="D273" s="14"/>
      <c r="E273" s="14"/>
      <c r="F273" s="14"/>
    </row>
    <row r="274" spans="1:6" s="11" customFormat="1" x14ac:dyDescent="0.25">
      <c r="A274" s="12"/>
      <c r="B274" s="13"/>
      <c r="C274" s="13"/>
      <c r="D274" s="14"/>
      <c r="E274" s="14"/>
      <c r="F274" s="14"/>
    </row>
    <row r="275" spans="1:6" s="11" customFormat="1" x14ac:dyDescent="0.25">
      <c r="A275" s="12"/>
      <c r="B275" s="13"/>
      <c r="C275" s="13"/>
      <c r="D275" s="14"/>
      <c r="E275" s="14"/>
      <c r="F275" s="14"/>
    </row>
    <row r="276" spans="1:6" s="11" customFormat="1" x14ac:dyDescent="0.25">
      <c r="A276" s="12"/>
      <c r="B276" s="13"/>
      <c r="C276" s="13"/>
      <c r="D276" s="14"/>
      <c r="E276" s="14"/>
      <c r="F276" s="14"/>
    </row>
    <row r="277" spans="1:6" s="11" customFormat="1" x14ac:dyDescent="0.25">
      <c r="A277" s="12"/>
      <c r="B277" s="13"/>
      <c r="C277" s="13"/>
      <c r="D277" s="14"/>
      <c r="E277" s="14"/>
      <c r="F277" s="14"/>
    </row>
    <row r="278" spans="1:6" s="11" customFormat="1" x14ac:dyDescent="0.25">
      <c r="A278" s="12"/>
      <c r="B278" s="13"/>
      <c r="C278" s="13"/>
      <c r="D278" s="14"/>
      <c r="E278" s="14"/>
      <c r="F278" s="14"/>
    </row>
    <row r="279" spans="1:6" s="11" customFormat="1" x14ac:dyDescent="0.25">
      <c r="A279" s="12"/>
      <c r="B279" s="13"/>
      <c r="C279" s="13"/>
      <c r="D279" s="14"/>
      <c r="E279" s="14"/>
      <c r="F279" s="14"/>
    </row>
    <row r="280" spans="1:6" s="11" customFormat="1" x14ac:dyDescent="0.25">
      <c r="A280" s="12"/>
      <c r="B280" s="13"/>
      <c r="C280" s="13"/>
      <c r="D280" s="14"/>
      <c r="E280" s="14"/>
      <c r="F280" s="14"/>
    </row>
    <row r="281" spans="1:6" s="11" customFormat="1" x14ac:dyDescent="0.25">
      <c r="A281" s="12"/>
      <c r="B281" s="13"/>
      <c r="C281" s="13"/>
      <c r="D281" s="14"/>
      <c r="E281" s="14"/>
      <c r="F281" s="14"/>
    </row>
    <row r="282" spans="1:6" s="11" customFormat="1" x14ac:dyDescent="0.25">
      <c r="A282" s="12"/>
      <c r="B282" s="13"/>
      <c r="C282" s="13"/>
      <c r="D282" s="14"/>
      <c r="E282" s="14"/>
      <c r="F282" s="14"/>
    </row>
    <row r="283" spans="1:6" s="11" customFormat="1" x14ac:dyDescent="0.25">
      <c r="A283" s="12"/>
      <c r="B283" s="13"/>
      <c r="C283" s="13"/>
      <c r="D283" s="14"/>
      <c r="E283" s="14"/>
      <c r="F283" s="14"/>
    </row>
    <row r="284" spans="1:6" s="11" customFormat="1" x14ac:dyDescent="0.25">
      <c r="A284" s="12"/>
      <c r="B284" s="13"/>
      <c r="C284" s="13"/>
      <c r="D284" s="14"/>
      <c r="E284" s="14"/>
      <c r="F284" s="14"/>
    </row>
    <row r="285" spans="1:6" s="11" customFormat="1" x14ac:dyDescent="0.25">
      <c r="A285" s="12"/>
      <c r="B285" s="13"/>
      <c r="C285" s="13"/>
      <c r="D285" s="14"/>
      <c r="E285" s="14"/>
      <c r="F285" s="14"/>
    </row>
    <row r="286" spans="1:6" s="11" customFormat="1" x14ac:dyDescent="0.25">
      <c r="A286" s="12"/>
      <c r="B286" s="13"/>
      <c r="C286" s="13"/>
      <c r="D286" s="14"/>
      <c r="E286" s="14"/>
      <c r="F286" s="14"/>
    </row>
    <row r="287" spans="1:6" s="11" customFormat="1" x14ac:dyDescent="0.25">
      <c r="A287" s="12"/>
      <c r="B287" s="13"/>
      <c r="C287" s="13"/>
      <c r="D287" s="14"/>
      <c r="E287" s="14"/>
      <c r="F287" s="14"/>
    </row>
    <row r="288" spans="1:6" s="11" customFormat="1" x14ac:dyDescent="0.25">
      <c r="A288" s="12"/>
      <c r="B288" s="13"/>
      <c r="C288" s="13"/>
      <c r="D288" s="14"/>
      <c r="E288" s="14"/>
      <c r="F288" s="14"/>
    </row>
    <row r="289" spans="1:6" s="11" customFormat="1" x14ac:dyDescent="0.25">
      <c r="A289" s="12"/>
      <c r="B289" s="13"/>
      <c r="C289" s="13"/>
      <c r="D289" s="14"/>
      <c r="E289" s="14"/>
      <c r="F289" s="14"/>
    </row>
    <row r="290" spans="1:6" s="11" customFormat="1" x14ac:dyDescent="0.25">
      <c r="A290" s="12"/>
      <c r="B290" s="13"/>
      <c r="C290" s="13"/>
      <c r="D290" s="14"/>
      <c r="E290" s="14"/>
      <c r="F290" s="14"/>
    </row>
    <row r="291" spans="1:6" s="11" customFormat="1" x14ac:dyDescent="0.25">
      <c r="A291" s="12"/>
      <c r="B291" s="13"/>
      <c r="C291" s="13"/>
      <c r="D291" s="14"/>
      <c r="E291" s="14"/>
      <c r="F291" s="14"/>
    </row>
    <row r="292" spans="1:6" s="11" customFormat="1" x14ac:dyDescent="0.25">
      <c r="A292" s="12"/>
      <c r="B292" s="13"/>
      <c r="C292" s="13"/>
      <c r="D292" s="14"/>
      <c r="E292" s="14"/>
      <c r="F292" s="14"/>
    </row>
    <row r="293" spans="1:6" s="11" customFormat="1" x14ac:dyDescent="0.25">
      <c r="A293" s="12"/>
      <c r="B293" s="13"/>
      <c r="C293" s="13"/>
      <c r="D293" s="14"/>
      <c r="E293" s="14"/>
      <c r="F293" s="14"/>
    </row>
    <row r="294" spans="1:6" s="11" customFormat="1" x14ac:dyDescent="0.25">
      <c r="A294" s="12"/>
      <c r="B294" s="13"/>
      <c r="C294" s="13"/>
      <c r="D294" s="14"/>
      <c r="E294" s="14"/>
      <c r="F294" s="14"/>
    </row>
    <row r="295" spans="1:6" s="11" customFormat="1" x14ac:dyDescent="0.25">
      <c r="A295" s="12"/>
      <c r="B295" s="13"/>
      <c r="C295" s="13"/>
      <c r="D295" s="14"/>
      <c r="E295" s="14"/>
      <c r="F295" s="14"/>
    </row>
    <row r="296" spans="1:6" s="11" customFormat="1" x14ac:dyDescent="0.25">
      <c r="A296" s="12"/>
      <c r="B296" s="13"/>
      <c r="C296" s="13"/>
      <c r="D296" s="14"/>
      <c r="E296" s="14"/>
      <c r="F296" s="14"/>
    </row>
    <row r="297" spans="1:6" s="11" customFormat="1" x14ac:dyDescent="0.25">
      <c r="A297" s="12"/>
      <c r="B297" s="13"/>
      <c r="C297" s="13"/>
      <c r="D297" s="14"/>
      <c r="E297" s="14"/>
      <c r="F297" s="14"/>
    </row>
    <row r="298" spans="1:6" s="11" customFormat="1" x14ac:dyDescent="0.25">
      <c r="A298" s="12"/>
      <c r="B298" s="13"/>
      <c r="C298" s="13"/>
      <c r="D298" s="14"/>
      <c r="E298" s="14"/>
      <c r="F298" s="14"/>
    </row>
    <row r="299" spans="1:6" s="11" customFormat="1" x14ac:dyDescent="0.25">
      <c r="A299" s="12"/>
      <c r="B299" s="13"/>
      <c r="C299" s="13"/>
      <c r="D299" s="14"/>
      <c r="E299" s="14"/>
      <c r="F299" s="14"/>
    </row>
    <row r="300" spans="1:6" s="11" customFormat="1" x14ac:dyDescent="0.25">
      <c r="A300" s="12"/>
      <c r="B300" s="13"/>
      <c r="C300" s="13"/>
      <c r="D300" s="14"/>
      <c r="E300" s="14"/>
      <c r="F300" s="14"/>
    </row>
    <row r="301" spans="1:6" s="11" customFormat="1" x14ac:dyDescent="0.25">
      <c r="A301" s="12"/>
      <c r="B301" s="13"/>
      <c r="C301" s="13"/>
      <c r="D301" s="14"/>
      <c r="E301" s="14"/>
      <c r="F301" s="14"/>
    </row>
    <row r="302" spans="1:6" s="11" customFormat="1" x14ac:dyDescent="0.25">
      <c r="A302" s="12"/>
      <c r="B302" s="13"/>
      <c r="C302" s="13"/>
      <c r="D302" s="14"/>
      <c r="E302" s="14"/>
      <c r="F302" s="14"/>
    </row>
    <row r="303" spans="1:6" s="11" customFormat="1" x14ac:dyDescent="0.25">
      <c r="A303" s="12"/>
      <c r="B303" s="13"/>
      <c r="C303" s="13"/>
      <c r="D303" s="14"/>
      <c r="E303" s="14"/>
      <c r="F303" s="14"/>
    </row>
    <row r="304" spans="1:6" s="11" customFormat="1" x14ac:dyDescent="0.25">
      <c r="A304" s="12"/>
      <c r="B304" s="13"/>
      <c r="C304" s="13"/>
      <c r="D304" s="14"/>
      <c r="E304" s="14"/>
      <c r="F304" s="14"/>
    </row>
    <row r="305" spans="1:6" s="11" customFormat="1" x14ac:dyDescent="0.25">
      <c r="A305" s="12"/>
      <c r="B305" s="13"/>
      <c r="C305" s="13"/>
      <c r="D305" s="14"/>
      <c r="E305" s="14"/>
      <c r="F305" s="14"/>
    </row>
    <row r="306" spans="1:6" s="11" customFormat="1" x14ac:dyDescent="0.25">
      <c r="A306" s="12"/>
      <c r="B306" s="13"/>
      <c r="C306" s="13"/>
      <c r="D306" s="14"/>
      <c r="E306" s="14"/>
      <c r="F306" s="14"/>
    </row>
    <row r="307" spans="1:6" s="11" customFormat="1" x14ac:dyDescent="0.25">
      <c r="A307" s="12"/>
      <c r="B307" s="13"/>
      <c r="C307" s="13"/>
      <c r="D307" s="14"/>
      <c r="E307" s="14"/>
      <c r="F307" s="14"/>
    </row>
    <row r="308" spans="1:6" s="11" customFormat="1" x14ac:dyDescent="0.25">
      <c r="A308" s="12"/>
      <c r="B308" s="13"/>
      <c r="C308" s="13"/>
      <c r="D308" s="14"/>
      <c r="E308" s="14"/>
      <c r="F308" s="14"/>
    </row>
    <row r="309" spans="1:6" s="11" customFormat="1" x14ac:dyDescent="0.25">
      <c r="A309" s="12"/>
      <c r="B309" s="13"/>
      <c r="C309" s="13"/>
      <c r="D309" s="14"/>
      <c r="E309" s="14"/>
      <c r="F309" s="14"/>
    </row>
    <row r="310" spans="1:6" s="11" customFormat="1" x14ac:dyDescent="0.25">
      <c r="A310" s="12"/>
      <c r="B310" s="13"/>
      <c r="C310" s="13"/>
      <c r="D310" s="14"/>
      <c r="E310" s="14"/>
      <c r="F310" s="14"/>
    </row>
    <row r="311" spans="1:6" s="11" customFormat="1" x14ac:dyDescent="0.25">
      <c r="A311" s="12"/>
      <c r="B311" s="13"/>
      <c r="C311" s="13"/>
      <c r="D311" s="14"/>
      <c r="E311" s="14"/>
      <c r="F311" s="14"/>
    </row>
    <row r="312" spans="1:6" s="11" customFormat="1" x14ac:dyDescent="0.25">
      <c r="A312" s="12"/>
      <c r="B312" s="13"/>
      <c r="C312" s="13"/>
      <c r="D312" s="14"/>
      <c r="E312" s="14"/>
      <c r="F312" s="14"/>
    </row>
    <row r="313" spans="1:6" s="11" customFormat="1" x14ac:dyDescent="0.25">
      <c r="A313" s="12"/>
      <c r="B313" s="13"/>
      <c r="C313" s="13"/>
      <c r="D313" s="14"/>
      <c r="E313" s="14"/>
      <c r="F313" s="14"/>
    </row>
    <row r="314" spans="1:6" s="11" customFormat="1" x14ac:dyDescent="0.25">
      <c r="A314" s="12"/>
      <c r="B314" s="13"/>
      <c r="C314" s="13"/>
      <c r="D314" s="14"/>
      <c r="E314" s="14"/>
      <c r="F314" s="14"/>
    </row>
    <row r="315" spans="1:6" s="11" customFormat="1" x14ac:dyDescent="0.25">
      <c r="A315" s="12"/>
      <c r="B315" s="13"/>
      <c r="C315" s="13"/>
      <c r="D315" s="14"/>
      <c r="E315" s="14"/>
      <c r="F315" s="14"/>
    </row>
    <row r="316" spans="1:6" s="11" customFormat="1" x14ac:dyDescent="0.25">
      <c r="A316" s="12"/>
      <c r="B316" s="13"/>
      <c r="C316" s="13"/>
      <c r="D316" s="14"/>
      <c r="E316" s="14"/>
      <c r="F316" s="14"/>
    </row>
    <row r="317" spans="1:6" s="11" customFormat="1" x14ac:dyDescent="0.25">
      <c r="A317" s="12"/>
      <c r="B317" s="13"/>
      <c r="C317" s="13"/>
      <c r="D317" s="14"/>
      <c r="E317" s="14"/>
      <c r="F317" s="14"/>
    </row>
    <row r="318" spans="1:6" s="11" customFormat="1" x14ac:dyDescent="0.25">
      <c r="A318" s="12"/>
      <c r="B318" s="13"/>
      <c r="C318" s="13"/>
      <c r="D318" s="14"/>
      <c r="E318" s="14"/>
      <c r="F318" s="14"/>
    </row>
    <row r="319" spans="1:6" s="11" customFormat="1" x14ac:dyDescent="0.25">
      <c r="A319" s="12"/>
      <c r="B319" s="13"/>
      <c r="C319" s="13"/>
      <c r="D319" s="14"/>
      <c r="E319" s="14"/>
      <c r="F319" s="14"/>
    </row>
    <row r="320" spans="1:6" s="11" customFormat="1" x14ac:dyDescent="0.25">
      <c r="A320" s="12"/>
      <c r="B320" s="13"/>
      <c r="C320" s="13"/>
      <c r="D320" s="14"/>
      <c r="E320" s="14"/>
      <c r="F320" s="14"/>
    </row>
    <row r="321" spans="1:6" s="11" customFormat="1" x14ac:dyDescent="0.25">
      <c r="A321" s="12"/>
      <c r="B321" s="13"/>
      <c r="C321" s="13"/>
      <c r="D321" s="14"/>
      <c r="E321" s="14"/>
      <c r="F321" s="14"/>
    </row>
    <row r="322" spans="1:6" s="11" customFormat="1" x14ac:dyDescent="0.25">
      <c r="A322" s="12"/>
      <c r="B322" s="13"/>
      <c r="C322" s="13"/>
      <c r="D322" s="14"/>
      <c r="E322" s="14"/>
      <c r="F322" s="14"/>
    </row>
    <row r="323" spans="1:6" s="11" customFormat="1" x14ac:dyDescent="0.25">
      <c r="A323" s="12"/>
      <c r="B323" s="13"/>
      <c r="C323" s="13"/>
      <c r="D323" s="14"/>
      <c r="E323" s="14"/>
      <c r="F323" s="14"/>
    </row>
    <row r="324" spans="1:6" s="11" customFormat="1" x14ac:dyDescent="0.25">
      <c r="A324" s="12"/>
      <c r="B324" s="13"/>
      <c r="C324" s="13"/>
      <c r="D324" s="14"/>
      <c r="E324" s="14"/>
      <c r="F324" s="14"/>
    </row>
    <row r="325" spans="1:6" s="11" customFormat="1" x14ac:dyDescent="0.25">
      <c r="A325" s="12"/>
      <c r="B325" s="13"/>
      <c r="C325" s="13"/>
      <c r="D325" s="14"/>
      <c r="E325" s="14"/>
      <c r="F325" s="14"/>
    </row>
    <row r="326" spans="1:6" s="11" customFormat="1" x14ac:dyDescent="0.25">
      <c r="A326" s="12"/>
      <c r="B326" s="13"/>
      <c r="C326" s="13"/>
      <c r="D326" s="14"/>
      <c r="E326" s="14"/>
      <c r="F326" s="14"/>
    </row>
    <row r="327" spans="1:6" s="11" customFormat="1" x14ac:dyDescent="0.25">
      <c r="A327" s="12"/>
      <c r="B327" s="13"/>
      <c r="C327" s="13"/>
      <c r="D327" s="14"/>
      <c r="E327" s="14"/>
      <c r="F327" s="14"/>
    </row>
    <row r="328" spans="1:6" s="11" customFormat="1" x14ac:dyDescent="0.25">
      <c r="A328" s="12"/>
      <c r="B328" s="13"/>
      <c r="C328" s="13"/>
      <c r="D328" s="14"/>
      <c r="E328" s="14"/>
      <c r="F328" s="14"/>
    </row>
    <row r="329" spans="1:6" s="11" customFormat="1" x14ac:dyDescent="0.25">
      <c r="A329" s="12"/>
      <c r="B329" s="13"/>
      <c r="C329" s="13"/>
      <c r="D329" s="14"/>
      <c r="E329" s="14"/>
      <c r="F329" s="14"/>
    </row>
    <row r="330" spans="1:6" s="11" customFormat="1" x14ac:dyDescent="0.25">
      <c r="A330" s="12"/>
      <c r="B330" s="13"/>
      <c r="C330" s="13"/>
      <c r="D330" s="14"/>
      <c r="E330" s="14"/>
      <c r="F330" s="14"/>
    </row>
    <row r="331" spans="1:6" s="11" customFormat="1" x14ac:dyDescent="0.25">
      <c r="A331" s="12"/>
      <c r="B331" s="13"/>
      <c r="C331" s="13"/>
      <c r="D331" s="14"/>
      <c r="E331" s="14"/>
      <c r="F331" s="14"/>
    </row>
    <row r="332" spans="1:6" s="11" customFormat="1" x14ac:dyDescent="0.25">
      <c r="A332" s="12"/>
      <c r="B332" s="13"/>
      <c r="C332" s="13"/>
      <c r="D332" s="14"/>
      <c r="E332" s="14"/>
      <c r="F332" s="14"/>
    </row>
    <row r="333" spans="1:6" s="11" customFormat="1" x14ac:dyDescent="0.25">
      <c r="A333" s="12"/>
      <c r="B333" s="13"/>
      <c r="C333" s="13"/>
      <c r="D333" s="14"/>
      <c r="E333" s="14"/>
      <c r="F333" s="14"/>
    </row>
    <row r="334" spans="1:6" s="11" customFormat="1" x14ac:dyDescent="0.25">
      <c r="A334" s="12"/>
      <c r="B334" s="13"/>
      <c r="C334" s="13"/>
      <c r="D334" s="14"/>
      <c r="E334" s="14"/>
      <c r="F334" s="14"/>
    </row>
    <row r="335" spans="1:6" s="11" customFormat="1" x14ac:dyDescent="0.25">
      <c r="A335" s="12"/>
      <c r="B335" s="13"/>
      <c r="C335" s="13"/>
      <c r="D335" s="14"/>
      <c r="E335" s="14"/>
      <c r="F335" s="14"/>
    </row>
    <row r="336" spans="1:6" s="11" customFormat="1" x14ac:dyDescent="0.25">
      <c r="A336" s="12"/>
      <c r="B336" s="13"/>
      <c r="C336" s="13"/>
      <c r="D336" s="14"/>
      <c r="E336" s="14"/>
      <c r="F336" s="14"/>
    </row>
    <row r="337" spans="1:6" s="11" customFormat="1" x14ac:dyDescent="0.25">
      <c r="A337" s="12"/>
      <c r="B337" s="13"/>
      <c r="C337" s="13"/>
      <c r="D337" s="14"/>
      <c r="E337" s="14"/>
      <c r="F337" s="14"/>
    </row>
    <row r="338" spans="1:6" s="11" customFormat="1" x14ac:dyDescent="0.25">
      <c r="A338" s="12"/>
      <c r="B338" s="13"/>
      <c r="C338" s="13"/>
      <c r="D338" s="14"/>
      <c r="E338" s="14"/>
      <c r="F338" s="14"/>
    </row>
    <row r="339" spans="1:6" s="11" customFormat="1" x14ac:dyDescent="0.25">
      <c r="A339" s="12"/>
      <c r="B339" s="13"/>
      <c r="C339" s="13"/>
      <c r="D339" s="14"/>
      <c r="E339" s="14"/>
      <c r="F339" s="14"/>
    </row>
    <row r="340" spans="1:6" s="11" customFormat="1" x14ac:dyDescent="0.25">
      <c r="A340" s="12"/>
      <c r="B340" s="13"/>
      <c r="C340" s="13"/>
      <c r="D340" s="14"/>
      <c r="E340" s="14"/>
      <c r="F340" s="14"/>
    </row>
    <row r="341" spans="1:6" s="11" customFormat="1" x14ac:dyDescent="0.25">
      <c r="A341" s="12"/>
      <c r="B341" s="13"/>
      <c r="C341" s="13"/>
      <c r="D341" s="14"/>
      <c r="E341" s="14"/>
      <c r="F341" s="14"/>
    </row>
    <row r="342" spans="1:6" s="11" customFormat="1" x14ac:dyDescent="0.25">
      <c r="A342" s="12"/>
      <c r="B342" s="13"/>
      <c r="C342" s="13"/>
      <c r="D342" s="14"/>
      <c r="E342" s="14"/>
      <c r="F342" s="14"/>
    </row>
    <row r="343" spans="1:6" s="11" customFormat="1" x14ac:dyDescent="0.25">
      <c r="A343" s="12"/>
      <c r="B343" s="13"/>
      <c r="C343" s="13"/>
      <c r="D343" s="14"/>
      <c r="E343" s="14"/>
      <c r="F343" s="14"/>
    </row>
    <row r="344" spans="1:6" s="11" customFormat="1" x14ac:dyDescent="0.25">
      <c r="A344" s="12"/>
      <c r="B344" s="13"/>
      <c r="C344" s="13"/>
      <c r="D344" s="14"/>
      <c r="E344" s="14"/>
      <c r="F344" s="14"/>
    </row>
    <row r="345" spans="1:6" s="11" customFormat="1" x14ac:dyDescent="0.25">
      <c r="A345" s="12"/>
      <c r="B345" s="13"/>
      <c r="C345" s="13"/>
      <c r="D345" s="14"/>
      <c r="E345" s="14"/>
      <c r="F345" s="14"/>
    </row>
    <row r="346" spans="1:6" s="11" customFormat="1" x14ac:dyDescent="0.25">
      <c r="A346" s="12"/>
      <c r="B346" s="13"/>
      <c r="C346" s="13"/>
      <c r="D346" s="14"/>
      <c r="E346" s="14"/>
      <c r="F346" s="14"/>
    </row>
    <row r="347" spans="1:6" s="11" customFormat="1" x14ac:dyDescent="0.25">
      <c r="A347" s="12"/>
      <c r="B347" s="13"/>
      <c r="C347" s="13"/>
      <c r="D347" s="14"/>
      <c r="E347" s="14"/>
      <c r="F347" s="14"/>
    </row>
    <row r="348" spans="1:6" s="11" customFormat="1" x14ac:dyDescent="0.25">
      <c r="A348" s="12"/>
      <c r="B348" s="13"/>
      <c r="C348" s="13"/>
      <c r="D348" s="14"/>
      <c r="E348" s="14"/>
      <c r="F348" s="14"/>
    </row>
    <row r="349" spans="1:6" s="11" customFormat="1" x14ac:dyDescent="0.25">
      <c r="A349" s="12"/>
      <c r="B349" s="13"/>
      <c r="C349" s="13"/>
      <c r="D349" s="14"/>
      <c r="E349" s="14"/>
      <c r="F349" s="14"/>
    </row>
    <row r="350" spans="1:6" s="11" customFormat="1" x14ac:dyDescent="0.25">
      <c r="A350" s="12"/>
      <c r="B350" s="13"/>
      <c r="C350" s="13"/>
      <c r="D350" s="14"/>
      <c r="E350" s="14"/>
      <c r="F350" s="14"/>
    </row>
    <row r="351" spans="1:6" s="11" customFormat="1" x14ac:dyDescent="0.25">
      <c r="A351" s="12"/>
      <c r="B351" s="13"/>
      <c r="C351" s="13"/>
      <c r="D351" s="14"/>
      <c r="E351" s="14"/>
      <c r="F351" s="14"/>
    </row>
    <row r="352" spans="1:6" s="11" customFormat="1" x14ac:dyDescent="0.25">
      <c r="A352" s="12"/>
      <c r="B352" s="13"/>
      <c r="C352" s="13"/>
      <c r="D352" s="14"/>
      <c r="E352" s="14"/>
      <c r="F352" s="14"/>
    </row>
    <row r="353" spans="1:6" s="11" customFormat="1" x14ac:dyDescent="0.25">
      <c r="A353" s="12"/>
      <c r="B353" s="13"/>
      <c r="C353" s="13"/>
      <c r="D353" s="14"/>
      <c r="E353" s="14"/>
      <c r="F353" s="14"/>
    </row>
    <row r="354" spans="1:6" s="11" customFormat="1" x14ac:dyDescent="0.25">
      <c r="A354" s="12"/>
      <c r="B354" s="13"/>
      <c r="C354" s="13"/>
      <c r="D354" s="14"/>
      <c r="E354" s="14"/>
      <c r="F354" s="14"/>
    </row>
    <row r="355" spans="1:6" s="11" customFormat="1" x14ac:dyDescent="0.25">
      <c r="A355" s="12"/>
      <c r="B355" s="13"/>
      <c r="C355" s="13"/>
      <c r="D355" s="14"/>
      <c r="E355" s="14"/>
      <c r="F355" s="14"/>
    </row>
    <row r="356" spans="1:6" s="11" customFormat="1" x14ac:dyDescent="0.25">
      <c r="A356" s="12"/>
      <c r="B356" s="13"/>
      <c r="C356" s="13"/>
      <c r="D356" s="14"/>
      <c r="E356" s="14"/>
      <c r="F356" s="14"/>
    </row>
    <row r="357" spans="1:6" s="11" customFormat="1" x14ac:dyDescent="0.25">
      <c r="A357" s="12"/>
      <c r="B357" s="13"/>
      <c r="C357" s="13"/>
      <c r="D357" s="14"/>
      <c r="E357" s="14"/>
      <c r="F357" s="14"/>
    </row>
    <row r="358" spans="1:6" s="11" customFormat="1" x14ac:dyDescent="0.25">
      <c r="A358" s="12"/>
      <c r="B358" s="13"/>
      <c r="C358" s="13"/>
      <c r="D358" s="14"/>
      <c r="E358" s="14"/>
      <c r="F358" s="14"/>
    </row>
    <row r="359" spans="1:6" s="11" customFormat="1" x14ac:dyDescent="0.25">
      <c r="A359" s="12"/>
      <c r="B359" s="13"/>
      <c r="C359" s="13"/>
      <c r="D359" s="14"/>
      <c r="E359" s="14"/>
      <c r="F359" s="14"/>
    </row>
    <row r="360" spans="1:6" s="11" customFormat="1" x14ac:dyDescent="0.25">
      <c r="A360" s="12"/>
      <c r="B360" s="13"/>
      <c r="C360" s="13"/>
      <c r="D360" s="14"/>
      <c r="E360" s="14"/>
      <c r="F360" s="14"/>
    </row>
    <row r="361" spans="1:6" s="11" customFormat="1" x14ac:dyDescent="0.25">
      <c r="A361" s="12"/>
      <c r="B361" s="13"/>
      <c r="C361" s="13"/>
      <c r="D361" s="14"/>
      <c r="E361" s="14"/>
      <c r="F361" s="14"/>
    </row>
    <row r="362" spans="1:6" s="11" customFormat="1" x14ac:dyDescent="0.25">
      <c r="A362" s="12"/>
      <c r="B362" s="13"/>
      <c r="C362" s="13"/>
      <c r="D362" s="14"/>
      <c r="E362" s="14"/>
      <c r="F362" s="14"/>
    </row>
    <row r="363" spans="1:6" s="11" customFormat="1" x14ac:dyDescent="0.25">
      <c r="A363" s="12"/>
      <c r="B363" s="13"/>
      <c r="C363" s="13"/>
      <c r="D363" s="14"/>
      <c r="E363" s="14"/>
      <c r="F363" s="14"/>
    </row>
    <row r="364" spans="1:6" s="11" customFormat="1" x14ac:dyDescent="0.25">
      <c r="A364" s="12"/>
      <c r="B364" s="13"/>
      <c r="C364" s="13"/>
      <c r="D364" s="14"/>
      <c r="E364" s="14"/>
      <c r="F364" s="14"/>
    </row>
    <row r="365" spans="1:6" s="11" customFormat="1" x14ac:dyDescent="0.25">
      <c r="A365" s="12"/>
      <c r="B365" s="13"/>
      <c r="C365" s="13"/>
      <c r="D365" s="14"/>
      <c r="E365" s="14"/>
      <c r="F365" s="14"/>
    </row>
    <row r="366" spans="1:6" s="11" customFormat="1" x14ac:dyDescent="0.25">
      <c r="A366" s="12"/>
      <c r="B366" s="13"/>
      <c r="C366" s="13"/>
      <c r="D366" s="14"/>
      <c r="E366" s="14"/>
      <c r="F366" s="14"/>
    </row>
    <row r="367" spans="1:6" s="11" customFormat="1" x14ac:dyDescent="0.25">
      <c r="A367" s="12"/>
      <c r="B367" s="13"/>
      <c r="C367" s="13"/>
      <c r="D367" s="14"/>
      <c r="E367" s="14"/>
      <c r="F367" s="14"/>
    </row>
    <row r="368" spans="1:6" s="11" customFormat="1" x14ac:dyDescent="0.25">
      <c r="A368" s="12"/>
      <c r="B368" s="13"/>
      <c r="C368" s="13"/>
      <c r="D368" s="14"/>
      <c r="E368" s="14"/>
      <c r="F368" s="14"/>
    </row>
    <row r="369" spans="1:6" s="11" customFormat="1" x14ac:dyDescent="0.25">
      <c r="A369" s="12"/>
      <c r="B369" s="13"/>
      <c r="C369" s="13"/>
      <c r="D369" s="14"/>
      <c r="E369" s="14"/>
      <c r="F369" s="14"/>
    </row>
    <row r="370" spans="1:6" s="11" customFormat="1" x14ac:dyDescent="0.25">
      <c r="A370" s="12"/>
      <c r="B370" s="13"/>
      <c r="C370" s="13"/>
      <c r="D370" s="14"/>
      <c r="E370" s="14"/>
      <c r="F370" s="14"/>
    </row>
    <row r="371" spans="1:6" s="11" customFormat="1" x14ac:dyDescent="0.25">
      <c r="A371" s="12"/>
      <c r="B371" s="13"/>
      <c r="C371" s="13"/>
      <c r="D371" s="14"/>
      <c r="E371" s="14"/>
      <c r="F371" s="14"/>
    </row>
    <row r="372" spans="1:6" s="11" customFormat="1" x14ac:dyDescent="0.25">
      <c r="A372" s="12"/>
      <c r="B372" s="13"/>
      <c r="C372" s="13"/>
      <c r="D372" s="14"/>
      <c r="E372" s="14"/>
      <c r="F372" s="14"/>
    </row>
    <row r="373" spans="1:6" s="11" customFormat="1" x14ac:dyDescent="0.25">
      <c r="A373" s="12"/>
      <c r="B373" s="13"/>
      <c r="C373" s="13"/>
      <c r="D373" s="14"/>
      <c r="E373" s="14"/>
      <c r="F373" s="14"/>
    </row>
    <row r="374" spans="1:6" s="11" customFormat="1" x14ac:dyDescent="0.25">
      <c r="A374" s="12"/>
      <c r="B374" s="13"/>
      <c r="C374" s="13"/>
      <c r="D374" s="14"/>
      <c r="E374" s="14"/>
      <c r="F374" s="14"/>
    </row>
    <row r="375" spans="1:6" s="11" customFormat="1" x14ac:dyDescent="0.25">
      <c r="A375" s="12"/>
      <c r="B375" s="13"/>
      <c r="C375" s="13"/>
      <c r="D375" s="14"/>
      <c r="E375" s="14"/>
      <c r="F375" s="14"/>
    </row>
    <row r="376" spans="1:6" s="11" customFormat="1" x14ac:dyDescent="0.25">
      <c r="A376" s="12"/>
      <c r="B376" s="13"/>
      <c r="C376" s="13"/>
      <c r="D376" s="14"/>
      <c r="E376" s="14"/>
      <c r="F376" s="14"/>
    </row>
    <row r="377" spans="1:6" s="11" customFormat="1" x14ac:dyDescent="0.25">
      <c r="A377" s="12"/>
      <c r="B377" s="13"/>
      <c r="C377" s="13"/>
      <c r="D377" s="14"/>
      <c r="E377" s="14"/>
      <c r="F377" s="14"/>
    </row>
    <row r="378" spans="1:6" s="11" customFormat="1" x14ac:dyDescent="0.25">
      <c r="A378" s="12"/>
      <c r="B378" s="13"/>
      <c r="C378" s="13"/>
      <c r="D378" s="14"/>
      <c r="E378" s="14"/>
      <c r="F378" s="14"/>
    </row>
    <row r="379" spans="1:6" s="11" customFormat="1" x14ac:dyDescent="0.25">
      <c r="A379" s="12"/>
      <c r="B379" s="13"/>
      <c r="C379" s="13"/>
      <c r="D379" s="14"/>
      <c r="E379" s="14"/>
      <c r="F379" s="14"/>
    </row>
    <row r="380" spans="1:6" s="11" customFormat="1" x14ac:dyDescent="0.25">
      <c r="A380" s="12"/>
      <c r="B380" s="13"/>
      <c r="C380" s="13"/>
      <c r="D380" s="14"/>
      <c r="E380" s="14"/>
      <c r="F380" s="14"/>
    </row>
    <row r="381" spans="1:6" s="11" customFormat="1" x14ac:dyDescent="0.25">
      <c r="A381" s="12"/>
      <c r="B381" s="13"/>
      <c r="C381" s="13"/>
      <c r="D381" s="14"/>
      <c r="E381" s="14"/>
      <c r="F381" s="14"/>
    </row>
    <row r="382" spans="1:6" s="11" customFormat="1" x14ac:dyDescent="0.25">
      <c r="A382" s="12"/>
      <c r="B382" s="13"/>
      <c r="C382" s="13"/>
      <c r="D382" s="14"/>
      <c r="E382" s="14"/>
      <c r="F382" s="14"/>
    </row>
    <row r="383" spans="1:6" s="11" customFormat="1" x14ac:dyDescent="0.25">
      <c r="A383" s="12"/>
      <c r="B383" s="13"/>
      <c r="C383" s="13"/>
      <c r="D383" s="14"/>
      <c r="E383" s="14"/>
      <c r="F383" s="14"/>
    </row>
    <row r="384" spans="1:6" s="11" customFormat="1" x14ac:dyDescent="0.25">
      <c r="A384" s="12"/>
      <c r="B384" s="13"/>
      <c r="C384" s="13"/>
      <c r="D384" s="14"/>
      <c r="E384" s="14"/>
      <c r="F384" s="14"/>
    </row>
    <row r="385" spans="1:6" s="11" customFormat="1" x14ac:dyDescent="0.25">
      <c r="A385" s="12"/>
      <c r="B385" s="13"/>
      <c r="C385" s="13"/>
      <c r="D385" s="14"/>
      <c r="E385" s="14"/>
      <c r="F385" s="14"/>
    </row>
    <row r="386" spans="1:6" s="11" customFormat="1" x14ac:dyDescent="0.25">
      <c r="A386" s="12"/>
      <c r="B386" s="13"/>
      <c r="C386" s="13"/>
      <c r="D386" s="14"/>
      <c r="E386" s="14"/>
      <c r="F386" s="14"/>
    </row>
    <row r="387" spans="1:6" s="11" customFormat="1" x14ac:dyDescent="0.25">
      <c r="A387" s="12"/>
      <c r="B387" s="13"/>
      <c r="C387" s="13"/>
      <c r="D387" s="14"/>
      <c r="E387" s="14"/>
      <c r="F387" s="14"/>
    </row>
    <row r="388" spans="1:6" s="11" customFormat="1" x14ac:dyDescent="0.25">
      <c r="A388" s="12"/>
      <c r="B388" s="13"/>
      <c r="C388" s="13"/>
      <c r="D388" s="14"/>
      <c r="E388" s="14"/>
      <c r="F388" s="14"/>
    </row>
    <row r="389" spans="1:6" s="11" customFormat="1" x14ac:dyDescent="0.25">
      <c r="A389" s="12"/>
      <c r="B389" s="13"/>
      <c r="C389" s="13"/>
      <c r="D389" s="14"/>
      <c r="E389" s="14"/>
      <c r="F389" s="14"/>
    </row>
    <row r="390" spans="1:6" s="11" customFormat="1" x14ac:dyDescent="0.25">
      <c r="A390" s="12"/>
      <c r="B390" s="13"/>
      <c r="C390" s="13"/>
      <c r="D390" s="14"/>
      <c r="E390" s="14"/>
      <c r="F390" s="14"/>
    </row>
    <row r="391" spans="1:6" s="11" customFormat="1" x14ac:dyDescent="0.25">
      <c r="A391" s="12"/>
      <c r="B391" s="13"/>
      <c r="C391" s="13"/>
      <c r="D391" s="14"/>
      <c r="E391" s="14"/>
      <c r="F391" s="14"/>
    </row>
    <row r="392" spans="1:6" s="11" customFormat="1" x14ac:dyDescent="0.25">
      <c r="A392" s="12"/>
      <c r="B392" s="13"/>
      <c r="C392" s="13"/>
      <c r="D392" s="14"/>
      <c r="E392" s="14"/>
      <c r="F392" s="14"/>
    </row>
    <row r="393" spans="1:6" s="11" customFormat="1" x14ac:dyDescent="0.25">
      <c r="A393" s="12"/>
      <c r="B393" s="13"/>
      <c r="C393" s="13"/>
      <c r="D393" s="14"/>
      <c r="E393" s="14"/>
      <c r="F393" s="14"/>
    </row>
    <row r="394" spans="1:6" s="11" customFormat="1" x14ac:dyDescent="0.25">
      <c r="A394" s="12"/>
      <c r="B394" s="13"/>
      <c r="C394" s="13"/>
      <c r="D394" s="14"/>
      <c r="E394" s="14"/>
      <c r="F394" s="14"/>
    </row>
    <row r="395" spans="1:6" s="11" customFormat="1" x14ac:dyDescent="0.25">
      <c r="A395" s="12"/>
      <c r="B395" s="13"/>
      <c r="C395" s="13"/>
      <c r="D395" s="14"/>
      <c r="E395" s="14"/>
      <c r="F395" s="14"/>
    </row>
    <row r="396" spans="1:6" s="11" customFormat="1" x14ac:dyDescent="0.25">
      <c r="A396" s="12"/>
      <c r="B396" s="13"/>
      <c r="C396" s="13"/>
      <c r="D396" s="14"/>
      <c r="E396" s="14"/>
      <c r="F396" s="14"/>
    </row>
    <row r="397" spans="1:6" s="11" customFormat="1" x14ac:dyDescent="0.25">
      <c r="A397" s="12"/>
      <c r="B397" s="13"/>
      <c r="C397" s="13"/>
      <c r="D397" s="14"/>
      <c r="E397" s="14"/>
      <c r="F397" s="14"/>
    </row>
    <row r="398" spans="1:6" s="11" customFormat="1" x14ac:dyDescent="0.25">
      <c r="A398" s="12"/>
      <c r="B398" s="13"/>
      <c r="C398" s="13"/>
      <c r="D398" s="14"/>
      <c r="E398" s="14"/>
      <c r="F398" s="14"/>
    </row>
    <row r="399" spans="1:6" s="11" customFormat="1" x14ac:dyDescent="0.25">
      <c r="A399" s="12"/>
      <c r="B399" s="13"/>
      <c r="C399" s="13"/>
      <c r="D399" s="14"/>
      <c r="E399" s="14"/>
      <c r="F399" s="14"/>
    </row>
    <row r="400" spans="1:6" s="11" customFormat="1" x14ac:dyDescent="0.25">
      <c r="A400" s="12"/>
      <c r="B400" s="13"/>
      <c r="C400" s="13"/>
      <c r="D400" s="14"/>
      <c r="E400" s="14"/>
      <c r="F400" s="14"/>
    </row>
    <row r="401" spans="1:6" s="11" customFormat="1" x14ac:dyDescent="0.25">
      <c r="A401" s="12"/>
      <c r="B401" s="13"/>
      <c r="C401" s="13"/>
      <c r="D401" s="14"/>
      <c r="E401" s="14"/>
      <c r="F401" s="14"/>
    </row>
    <row r="402" spans="1:6" s="11" customFormat="1" x14ac:dyDescent="0.25">
      <c r="A402" s="12"/>
      <c r="B402" s="13"/>
      <c r="C402" s="13"/>
      <c r="D402" s="14"/>
      <c r="E402" s="14"/>
      <c r="F402" s="14"/>
    </row>
    <row r="403" spans="1:6" s="11" customFormat="1" x14ac:dyDescent="0.25">
      <c r="A403" s="12"/>
      <c r="B403" s="13"/>
      <c r="C403" s="13"/>
      <c r="D403" s="14"/>
      <c r="E403" s="14"/>
      <c r="F403" s="14"/>
    </row>
    <row r="404" spans="1:6" s="11" customFormat="1" x14ac:dyDescent="0.25">
      <c r="A404" s="12"/>
      <c r="B404" s="13"/>
      <c r="C404" s="13"/>
      <c r="D404" s="14"/>
      <c r="E404" s="14"/>
      <c r="F404" s="14"/>
    </row>
    <row r="405" spans="1:6" s="11" customFormat="1" x14ac:dyDescent="0.25">
      <c r="A405" s="12"/>
      <c r="B405" s="13"/>
      <c r="C405" s="13"/>
      <c r="D405" s="14"/>
      <c r="E405" s="14"/>
      <c r="F405" s="14"/>
    </row>
    <row r="406" spans="1:6" s="11" customFormat="1" x14ac:dyDescent="0.25">
      <c r="A406" s="12"/>
      <c r="B406" s="13"/>
      <c r="C406" s="13"/>
      <c r="D406" s="14"/>
      <c r="E406" s="14"/>
      <c r="F406" s="14"/>
    </row>
    <row r="407" spans="1:6" s="11" customFormat="1" x14ac:dyDescent="0.25">
      <c r="A407" s="12"/>
      <c r="B407" s="13"/>
      <c r="C407" s="13"/>
      <c r="D407" s="14"/>
      <c r="E407" s="14"/>
      <c r="F407" s="14"/>
    </row>
    <row r="408" spans="1:6" s="11" customFormat="1" x14ac:dyDescent="0.25">
      <c r="A408" s="12"/>
      <c r="B408" s="13"/>
      <c r="C408" s="13"/>
      <c r="D408" s="14"/>
      <c r="E408" s="14"/>
      <c r="F408" s="14"/>
    </row>
    <row r="409" spans="1:6" s="11" customFormat="1" x14ac:dyDescent="0.25">
      <c r="A409" s="12"/>
      <c r="B409" s="13"/>
      <c r="C409" s="13"/>
      <c r="D409" s="14"/>
      <c r="E409" s="14"/>
      <c r="F409" s="14"/>
    </row>
    <row r="410" spans="1:6" s="11" customFormat="1" x14ac:dyDescent="0.25">
      <c r="A410" s="12"/>
      <c r="B410" s="13"/>
      <c r="C410" s="13"/>
      <c r="D410" s="14"/>
      <c r="E410" s="14"/>
      <c r="F410" s="14"/>
    </row>
    <row r="411" spans="1:6" s="11" customFormat="1" x14ac:dyDescent="0.25">
      <c r="A411" s="12"/>
      <c r="B411" s="13"/>
      <c r="C411" s="13"/>
      <c r="D411" s="14"/>
      <c r="E411" s="14"/>
      <c r="F411" s="14"/>
    </row>
    <row r="412" spans="1:6" s="11" customFormat="1" x14ac:dyDescent="0.25">
      <c r="A412" s="12"/>
      <c r="B412" s="13"/>
      <c r="C412" s="13"/>
      <c r="D412" s="14"/>
      <c r="E412" s="14"/>
      <c r="F412" s="14"/>
    </row>
    <row r="413" spans="1:6" s="11" customFormat="1" x14ac:dyDescent="0.25">
      <c r="A413" s="12"/>
      <c r="B413" s="13"/>
      <c r="C413" s="13"/>
      <c r="D413" s="14"/>
      <c r="E413" s="14"/>
      <c r="F413" s="14"/>
    </row>
    <row r="414" spans="1:6" s="11" customFormat="1" x14ac:dyDescent="0.25">
      <c r="A414" s="12"/>
      <c r="B414" s="13"/>
      <c r="C414" s="13"/>
      <c r="D414" s="14"/>
      <c r="E414" s="14"/>
      <c r="F414" s="14"/>
    </row>
    <row r="415" spans="1:6" s="11" customFormat="1" x14ac:dyDescent="0.25">
      <c r="A415" s="12"/>
      <c r="B415" s="13"/>
      <c r="C415" s="13"/>
      <c r="D415" s="14"/>
      <c r="E415" s="14"/>
      <c r="F415" s="14"/>
    </row>
    <row r="416" spans="1:6" s="11" customFormat="1" x14ac:dyDescent="0.25">
      <c r="A416" s="12"/>
      <c r="B416" s="13"/>
      <c r="C416" s="13"/>
      <c r="D416" s="14"/>
      <c r="E416" s="14"/>
      <c r="F416" s="14"/>
    </row>
    <row r="417" spans="1:6" s="11" customFormat="1" x14ac:dyDescent="0.25">
      <c r="A417" s="12"/>
      <c r="B417" s="13"/>
      <c r="C417" s="13"/>
      <c r="D417" s="14"/>
      <c r="E417" s="14"/>
      <c r="F417" s="14"/>
    </row>
    <row r="418" spans="1:6" s="11" customFormat="1" x14ac:dyDescent="0.25">
      <c r="A418" s="12"/>
      <c r="B418" s="13"/>
      <c r="C418" s="13"/>
      <c r="D418" s="14"/>
      <c r="E418" s="14"/>
      <c r="F418" s="14"/>
    </row>
    <row r="419" spans="1:6" s="11" customFormat="1" x14ac:dyDescent="0.25">
      <c r="A419" s="12"/>
      <c r="B419" s="13"/>
      <c r="C419" s="13"/>
      <c r="D419" s="14"/>
      <c r="E419" s="14"/>
      <c r="F419" s="14"/>
    </row>
    <row r="420" spans="1:6" s="11" customFormat="1" x14ac:dyDescent="0.25">
      <c r="A420" s="12"/>
      <c r="B420" s="13"/>
      <c r="C420" s="13"/>
      <c r="D420" s="14"/>
      <c r="E420" s="14"/>
      <c r="F420" s="14"/>
    </row>
    <row r="421" spans="1:6" s="11" customFormat="1" x14ac:dyDescent="0.25">
      <c r="A421" s="12"/>
      <c r="B421" s="13"/>
      <c r="C421" s="13"/>
      <c r="D421" s="14"/>
      <c r="E421" s="14"/>
      <c r="F421" s="14"/>
    </row>
    <row r="422" spans="1:6" s="11" customFormat="1" x14ac:dyDescent="0.25">
      <c r="A422" s="12"/>
      <c r="B422" s="13"/>
      <c r="C422" s="13"/>
      <c r="D422" s="14"/>
      <c r="E422" s="14"/>
      <c r="F422" s="14"/>
    </row>
    <row r="423" spans="1:6" s="11" customFormat="1" x14ac:dyDescent="0.25">
      <c r="A423" s="12"/>
      <c r="B423" s="13"/>
      <c r="C423" s="13"/>
      <c r="D423" s="14"/>
      <c r="E423" s="14"/>
      <c r="F423" s="14"/>
    </row>
    <row r="424" spans="1:6" s="11" customFormat="1" x14ac:dyDescent="0.25">
      <c r="A424" s="12"/>
      <c r="B424" s="13"/>
      <c r="C424" s="13"/>
      <c r="D424" s="14"/>
      <c r="E424" s="14"/>
      <c r="F424" s="14"/>
    </row>
    <row r="425" spans="1:6" s="11" customFormat="1" x14ac:dyDescent="0.25">
      <c r="A425" s="12"/>
      <c r="B425" s="13"/>
      <c r="C425" s="13"/>
      <c r="D425" s="14"/>
      <c r="E425" s="14"/>
      <c r="F425" s="14"/>
    </row>
    <row r="426" spans="1:6" s="11" customFormat="1" x14ac:dyDescent="0.25">
      <c r="A426" s="12"/>
      <c r="B426" s="13"/>
      <c r="C426" s="13"/>
      <c r="D426" s="14"/>
      <c r="E426" s="14"/>
      <c r="F426" s="14"/>
    </row>
    <row r="427" spans="1:6" s="11" customFormat="1" x14ac:dyDescent="0.25">
      <c r="A427" s="12"/>
      <c r="B427" s="13"/>
      <c r="C427" s="13"/>
      <c r="D427" s="14"/>
      <c r="E427" s="14"/>
      <c r="F427" s="14"/>
    </row>
    <row r="428" spans="1:6" s="11" customFormat="1" x14ac:dyDescent="0.25">
      <c r="A428" s="12"/>
      <c r="B428" s="13"/>
      <c r="C428" s="13"/>
      <c r="D428" s="14"/>
      <c r="E428" s="14"/>
      <c r="F428" s="14"/>
    </row>
    <row r="429" spans="1:6" s="11" customFormat="1" x14ac:dyDescent="0.25">
      <c r="A429" s="12"/>
      <c r="B429" s="13"/>
      <c r="C429" s="13"/>
      <c r="D429" s="14"/>
      <c r="E429" s="14"/>
      <c r="F429" s="14"/>
    </row>
    <row r="430" spans="1:6" s="11" customFormat="1" x14ac:dyDescent="0.25">
      <c r="A430" s="12"/>
      <c r="B430" s="13"/>
      <c r="C430" s="13"/>
      <c r="D430" s="14"/>
      <c r="E430" s="14"/>
      <c r="F430" s="14"/>
    </row>
    <row r="431" spans="1:6" s="11" customFormat="1" x14ac:dyDescent="0.25">
      <c r="A431" s="12"/>
      <c r="B431" s="13"/>
      <c r="C431" s="13"/>
      <c r="D431" s="14"/>
      <c r="E431" s="14"/>
      <c r="F431" s="14"/>
    </row>
    <row r="432" spans="1:6" s="11" customFormat="1" x14ac:dyDescent="0.25">
      <c r="A432" s="12"/>
      <c r="B432" s="13"/>
      <c r="C432" s="13"/>
      <c r="D432" s="14"/>
      <c r="E432" s="14"/>
      <c r="F432" s="14"/>
    </row>
    <row r="433" spans="1:6" s="11" customFormat="1" x14ac:dyDescent="0.25">
      <c r="A433" s="12"/>
      <c r="B433" s="13"/>
      <c r="C433" s="13"/>
      <c r="D433" s="14"/>
      <c r="E433" s="14"/>
      <c r="F433" s="14"/>
    </row>
    <row r="434" spans="1:6" s="11" customFormat="1" x14ac:dyDescent="0.25">
      <c r="A434" s="12"/>
      <c r="B434" s="13"/>
      <c r="C434" s="13"/>
      <c r="D434" s="14"/>
      <c r="E434" s="14"/>
      <c r="F434" s="14"/>
    </row>
    <row r="435" spans="1:6" s="11" customFormat="1" x14ac:dyDescent="0.25">
      <c r="A435" s="12"/>
      <c r="B435" s="13"/>
      <c r="C435" s="13"/>
      <c r="D435" s="14"/>
      <c r="E435" s="14"/>
      <c r="F435" s="14"/>
    </row>
    <row r="436" spans="1:6" s="11" customFormat="1" x14ac:dyDescent="0.25">
      <c r="A436" s="12"/>
      <c r="B436" s="13"/>
      <c r="C436" s="13"/>
      <c r="D436" s="14"/>
      <c r="E436" s="14"/>
      <c r="F436" s="14"/>
    </row>
    <row r="437" spans="1:6" s="11" customFormat="1" x14ac:dyDescent="0.25">
      <c r="A437" s="12"/>
      <c r="B437" s="13"/>
      <c r="C437" s="13"/>
      <c r="D437" s="14"/>
      <c r="E437" s="14"/>
      <c r="F437" s="14"/>
    </row>
    <row r="438" spans="1:6" s="11" customFormat="1" x14ac:dyDescent="0.25">
      <c r="A438" s="12"/>
      <c r="B438" s="13"/>
      <c r="C438" s="13"/>
      <c r="D438" s="14"/>
      <c r="E438" s="14"/>
      <c r="F438" s="14"/>
    </row>
    <row r="439" spans="1:6" s="11" customFormat="1" x14ac:dyDescent="0.25">
      <c r="A439" s="12"/>
      <c r="B439" s="13"/>
      <c r="C439" s="13"/>
      <c r="D439" s="14"/>
      <c r="E439" s="14"/>
      <c r="F439" s="14"/>
    </row>
    <row r="440" spans="1:6" s="11" customFormat="1" x14ac:dyDescent="0.25">
      <c r="A440" s="12"/>
      <c r="B440" s="13"/>
      <c r="C440" s="13"/>
      <c r="D440" s="14"/>
      <c r="E440" s="14"/>
      <c r="F440" s="14"/>
    </row>
    <row r="441" spans="1:6" s="11" customFormat="1" x14ac:dyDescent="0.25">
      <c r="A441" s="12"/>
      <c r="B441" s="13"/>
      <c r="C441" s="13"/>
      <c r="D441" s="14"/>
      <c r="E441" s="14"/>
      <c r="F441" s="14"/>
    </row>
    <row r="442" spans="1:6" s="11" customFormat="1" x14ac:dyDescent="0.25">
      <c r="A442" s="12"/>
      <c r="B442" s="13"/>
      <c r="C442" s="13"/>
      <c r="D442" s="14"/>
      <c r="E442" s="14"/>
      <c r="F442" s="14"/>
    </row>
    <row r="443" spans="1:6" s="11" customFormat="1" x14ac:dyDescent="0.25">
      <c r="A443" s="12"/>
      <c r="B443" s="13"/>
      <c r="C443" s="13"/>
      <c r="D443" s="14"/>
      <c r="E443" s="14"/>
      <c r="F443" s="14"/>
    </row>
    <row r="444" spans="1:6" s="11" customFormat="1" x14ac:dyDescent="0.25">
      <c r="A444" s="12"/>
      <c r="B444" s="13"/>
      <c r="C444" s="13"/>
      <c r="D444" s="14"/>
      <c r="E444" s="14"/>
      <c r="F444" s="14"/>
    </row>
    <row r="445" spans="1:6" s="11" customFormat="1" x14ac:dyDescent="0.25">
      <c r="A445" s="12"/>
      <c r="B445" s="13"/>
      <c r="C445" s="13"/>
      <c r="D445" s="14"/>
      <c r="E445" s="14"/>
      <c r="F445" s="14"/>
    </row>
    <row r="446" spans="1:6" s="11" customFormat="1" x14ac:dyDescent="0.25">
      <c r="A446" s="12"/>
      <c r="B446" s="13"/>
      <c r="C446" s="13"/>
      <c r="D446" s="14"/>
      <c r="E446" s="14"/>
      <c r="F446" s="14"/>
    </row>
    <row r="447" spans="1:6" s="11" customFormat="1" x14ac:dyDescent="0.25">
      <c r="A447" s="12"/>
      <c r="B447" s="13"/>
      <c r="C447" s="13"/>
      <c r="D447" s="14"/>
      <c r="E447" s="14"/>
      <c r="F447" s="14"/>
    </row>
    <row r="448" spans="1:6" s="11" customFormat="1" x14ac:dyDescent="0.25">
      <c r="A448" s="12"/>
      <c r="B448" s="13"/>
      <c r="C448" s="13"/>
      <c r="D448" s="14"/>
      <c r="E448" s="14"/>
      <c r="F448" s="14"/>
    </row>
    <row r="449" spans="1:6" s="11" customFormat="1" x14ac:dyDescent="0.25">
      <c r="A449" s="12"/>
      <c r="B449" s="13"/>
      <c r="C449" s="13"/>
      <c r="D449" s="14"/>
      <c r="E449" s="14"/>
      <c r="F449" s="14"/>
    </row>
    <row r="450" spans="1:6" s="11" customFormat="1" x14ac:dyDescent="0.25">
      <c r="A450" s="12"/>
      <c r="B450" s="13"/>
      <c r="C450" s="13"/>
      <c r="D450" s="14"/>
      <c r="E450" s="14"/>
      <c r="F450" s="14"/>
    </row>
    <row r="451" spans="1:6" s="11" customFormat="1" x14ac:dyDescent="0.25">
      <c r="A451" s="12"/>
      <c r="B451" s="13"/>
      <c r="C451" s="13"/>
      <c r="D451" s="14"/>
      <c r="E451" s="14"/>
      <c r="F451" s="14"/>
    </row>
    <row r="452" spans="1:6" s="11" customFormat="1" x14ac:dyDescent="0.25">
      <c r="A452" s="12"/>
      <c r="B452" s="13"/>
      <c r="C452" s="13"/>
      <c r="D452" s="14"/>
      <c r="E452" s="14"/>
      <c r="F452" s="14"/>
    </row>
    <row r="453" spans="1:6" s="11" customFormat="1" x14ac:dyDescent="0.25">
      <c r="A453" s="12"/>
      <c r="B453" s="13"/>
      <c r="C453" s="13"/>
      <c r="D453" s="14"/>
      <c r="E453" s="14"/>
      <c r="F453" s="14"/>
    </row>
    <row r="454" spans="1:6" s="11" customFormat="1" x14ac:dyDescent="0.25">
      <c r="A454" s="12"/>
      <c r="B454" s="13"/>
      <c r="C454" s="13"/>
      <c r="D454" s="14"/>
      <c r="E454" s="14"/>
      <c r="F454" s="14"/>
    </row>
    <row r="455" spans="1:6" s="11" customFormat="1" x14ac:dyDescent="0.25">
      <c r="A455" s="12"/>
      <c r="B455" s="13"/>
      <c r="C455" s="13"/>
      <c r="D455" s="14"/>
      <c r="E455" s="14"/>
      <c r="F455" s="14"/>
    </row>
    <row r="456" spans="1:6" s="11" customFormat="1" x14ac:dyDescent="0.25">
      <c r="A456" s="12"/>
      <c r="B456" s="13"/>
      <c r="C456" s="13"/>
      <c r="D456" s="14"/>
      <c r="E456" s="14"/>
      <c r="F456" s="14"/>
    </row>
    <row r="457" spans="1:6" s="11" customFormat="1" x14ac:dyDescent="0.25">
      <c r="A457" s="12"/>
      <c r="B457" s="13"/>
      <c r="C457" s="13"/>
      <c r="D457" s="14"/>
      <c r="E457" s="14"/>
      <c r="F457" s="14"/>
    </row>
    <row r="458" spans="1:6" s="11" customFormat="1" x14ac:dyDescent="0.25">
      <c r="A458" s="12"/>
      <c r="B458" s="13"/>
      <c r="C458" s="13"/>
      <c r="D458" s="14"/>
      <c r="E458" s="14"/>
      <c r="F458" s="14"/>
    </row>
    <row r="459" spans="1:6" s="11" customFormat="1" x14ac:dyDescent="0.25">
      <c r="A459" s="12"/>
      <c r="B459" s="13"/>
      <c r="C459" s="13"/>
      <c r="D459" s="14"/>
      <c r="E459" s="14"/>
      <c r="F459" s="14"/>
    </row>
    <row r="460" spans="1:6" s="11" customFormat="1" x14ac:dyDescent="0.25">
      <c r="A460" s="12"/>
      <c r="B460" s="13"/>
      <c r="C460" s="13"/>
      <c r="D460" s="14"/>
      <c r="E460" s="14"/>
      <c r="F460" s="14"/>
    </row>
    <row r="461" spans="1:6" s="11" customFormat="1" x14ac:dyDescent="0.25">
      <c r="A461" s="12"/>
      <c r="B461" s="13"/>
      <c r="C461" s="13"/>
      <c r="D461" s="14"/>
      <c r="E461" s="14"/>
      <c r="F461" s="14"/>
    </row>
    <row r="462" spans="1:6" s="11" customFormat="1" x14ac:dyDescent="0.25">
      <c r="A462" s="12"/>
      <c r="B462" s="13"/>
      <c r="C462" s="13"/>
      <c r="D462" s="14"/>
      <c r="E462" s="14"/>
      <c r="F462" s="14"/>
    </row>
    <row r="463" spans="1:6" s="11" customFormat="1" x14ac:dyDescent="0.25">
      <c r="A463" s="12"/>
      <c r="B463" s="13"/>
      <c r="C463" s="13"/>
      <c r="D463" s="14"/>
      <c r="E463" s="14"/>
      <c r="F463" s="14"/>
    </row>
    <row r="464" spans="1:6" s="11" customFormat="1" x14ac:dyDescent="0.25">
      <c r="A464" s="12"/>
      <c r="B464" s="13"/>
      <c r="C464" s="13"/>
      <c r="D464" s="14"/>
      <c r="E464" s="14"/>
      <c r="F464" s="14"/>
    </row>
    <row r="465" spans="1:6" s="11" customFormat="1" x14ac:dyDescent="0.25">
      <c r="A465" s="12"/>
      <c r="B465" s="13"/>
      <c r="C465" s="13"/>
      <c r="D465" s="14"/>
      <c r="E465" s="14"/>
      <c r="F465" s="14"/>
    </row>
    <row r="466" spans="1:6" s="11" customFormat="1" x14ac:dyDescent="0.25">
      <c r="A466" s="12"/>
      <c r="B466" s="13"/>
      <c r="C466" s="13"/>
      <c r="D466" s="14"/>
      <c r="E466" s="14"/>
      <c r="F466" s="14"/>
    </row>
    <row r="467" spans="1:6" s="11" customFormat="1" x14ac:dyDescent="0.25">
      <c r="A467" s="12"/>
      <c r="B467" s="13"/>
      <c r="C467" s="13"/>
      <c r="D467" s="14"/>
      <c r="E467" s="14"/>
      <c r="F467" s="14"/>
    </row>
    <row r="468" spans="1:6" s="11" customFormat="1" x14ac:dyDescent="0.25">
      <c r="A468" s="12"/>
      <c r="B468" s="13"/>
      <c r="C468" s="13"/>
      <c r="D468" s="14"/>
      <c r="E468" s="14"/>
      <c r="F468" s="14"/>
    </row>
    <row r="469" spans="1:6" s="11" customFormat="1" x14ac:dyDescent="0.25">
      <c r="A469" s="12"/>
      <c r="B469" s="13"/>
      <c r="C469" s="13"/>
      <c r="D469" s="14"/>
      <c r="E469" s="14"/>
      <c r="F469" s="14"/>
    </row>
    <row r="470" spans="1:6" s="11" customFormat="1" x14ac:dyDescent="0.25">
      <c r="A470" s="12"/>
      <c r="B470" s="13"/>
      <c r="C470" s="13"/>
      <c r="D470" s="14"/>
      <c r="E470" s="14"/>
      <c r="F470" s="14"/>
    </row>
    <row r="471" spans="1:6" s="11" customFormat="1" x14ac:dyDescent="0.25">
      <c r="A471" s="12"/>
      <c r="B471" s="13"/>
      <c r="C471" s="13"/>
      <c r="D471" s="14"/>
      <c r="E471" s="14"/>
      <c r="F471" s="14"/>
    </row>
    <row r="472" spans="1:6" s="11" customFormat="1" x14ac:dyDescent="0.25">
      <c r="A472" s="12"/>
      <c r="B472" s="13"/>
      <c r="C472" s="13"/>
      <c r="D472" s="14"/>
      <c r="E472" s="14"/>
      <c r="F472" s="14"/>
    </row>
    <row r="473" spans="1:6" s="11" customFormat="1" x14ac:dyDescent="0.25">
      <c r="A473" s="12"/>
      <c r="B473" s="13"/>
      <c r="C473" s="13"/>
      <c r="D473" s="14"/>
      <c r="E473" s="14"/>
      <c r="F473" s="14"/>
    </row>
    <row r="474" spans="1:6" s="11" customFormat="1" x14ac:dyDescent="0.25">
      <c r="A474" s="12"/>
      <c r="B474" s="13"/>
      <c r="C474" s="13"/>
      <c r="D474" s="14"/>
      <c r="E474" s="14"/>
      <c r="F474" s="14"/>
    </row>
    <row r="475" spans="1:6" s="11" customFormat="1" x14ac:dyDescent="0.25">
      <c r="A475" s="12"/>
      <c r="B475" s="13"/>
      <c r="C475" s="13"/>
      <c r="D475" s="14"/>
      <c r="E475" s="14"/>
      <c r="F475" s="14"/>
    </row>
    <row r="476" spans="1:6" s="11" customFormat="1" x14ac:dyDescent="0.25">
      <c r="A476" s="12"/>
      <c r="B476" s="13"/>
      <c r="C476" s="13"/>
      <c r="D476" s="14"/>
      <c r="E476" s="14"/>
      <c r="F476" s="14"/>
    </row>
    <row r="477" spans="1:6" s="11" customFormat="1" x14ac:dyDescent="0.25">
      <c r="A477" s="12"/>
      <c r="B477" s="13"/>
      <c r="C477" s="13"/>
      <c r="D477" s="14"/>
      <c r="E477" s="14"/>
      <c r="F477" s="14"/>
    </row>
    <row r="478" spans="1:6" s="11" customFormat="1" x14ac:dyDescent="0.25">
      <c r="A478" s="12"/>
      <c r="B478" s="13"/>
      <c r="C478" s="13"/>
      <c r="D478" s="14"/>
      <c r="E478" s="14"/>
      <c r="F478" s="14"/>
    </row>
    <row r="479" spans="1:6" s="11" customFormat="1" x14ac:dyDescent="0.25">
      <c r="A479" s="12"/>
      <c r="B479" s="13"/>
      <c r="C479" s="13"/>
      <c r="D479" s="14"/>
      <c r="E479" s="14"/>
      <c r="F479" s="14"/>
    </row>
    <row r="480" spans="1:6" s="11" customFormat="1" x14ac:dyDescent="0.25">
      <c r="A480" s="12"/>
      <c r="B480" s="13"/>
      <c r="C480" s="13"/>
      <c r="D480" s="14"/>
      <c r="E480" s="14"/>
      <c r="F480" s="14"/>
    </row>
    <row r="481" spans="1:6" s="11" customFormat="1" x14ac:dyDescent="0.25">
      <c r="A481" s="12"/>
      <c r="B481" s="13"/>
      <c r="C481" s="13"/>
      <c r="D481" s="14"/>
      <c r="E481" s="14"/>
      <c r="F481" s="14"/>
    </row>
    <row r="482" spans="1:6" s="11" customFormat="1" x14ac:dyDescent="0.25">
      <c r="A482" s="12"/>
      <c r="B482" s="13"/>
      <c r="C482" s="13"/>
      <c r="D482" s="14"/>
      <c r="E482" s="14"/>
      <c r="F482" s="14"/>
    </row>
    <row r="483" spans="1:6" s="11" customFormat="1" x14ac:dyDescent="0.25">
      <c r="A483" s="12"/>
      <c r="B483" s="13"/>
      <c r="C483" s="13"/>
      <c r="D483" s="14"/>
      <c r="E483" s="14"/>
      <c r="F483" s="14"/>
    </row>
    <row r="484" spans="1:6" s="11" customFormat="1" x14ac:dyDescent="0.25">
      <c r="A484" s="12"/>
      <c r="B484" s="13"/>
      <c r="C484" s="13"/>
      <c r="D484" s="14"/>
      <c r="E484" s="14"/>
      <c r="F484" s="14"/>
    </row>
    <row r="485" spans="1:6" s="11" customFormat="1" x14ac:dyDescent="0.25">
      <c r="A485" s="12"/>
      <c r="B485" s="13"/>
      <c r="C485" s="13"/>
      <c r="D485" s="14"/>
      <c r="E485" s="14"/>
      <c r="F485" s="14"/>
    </row>
    <row r="486" spans="1:6" s="11" customFormat="1" x14ac:dyDescent="0.25">
      <c r="A486" s="12"/>
      <c r="B486" s="13"/>
      <c r="C486" s="13"/>
      <c r="D486" s="14"/>
      <c r="E486" s="14"/>
      <c r="F486" s="14"/>
    </row>
    <row r="487" spans="1:6" s="11" customFormat="1" x14ac:dyDescent="0.25">
      <c r="A487" s="12"/>
      <c r="B487" s="13"/>
      <c r="C487" s="13"/>
      <c r="D487" s="14"/>
      <c r="E487" s="14"/>
      <c r="F487" s="14"/>
    </row>
    <row r="488" spans="1:6" s="11" customFormat="1" x14ac:dyDescent="0.25">
      <c r="A488" s="12"/>
      <c r="B488" s="13"/>
      <c r="C488" s="13"/>
      <c r="D488" s="14"/>
      <c r="E488" s="14"/>
      <c r="F488" s="14"/>
    </row>
    <row r="489" spans="1:6" s="11" customFormat="1" x14ac:dyDescent="0.25">
      <c r="A489" s="12"/>
      <c r="B489" s="13"/>
      <c r="C489" s="13"/>
      <c r="D489" s="14"/>
      <c r="E489" s="14"/>
      <c r="F489" s="14"/>
    </row>
    <row r="490" spans="1:6" s="11" customFormat="1" x14ac:dyDescent="0.25">
      <c r="A490" s="12"/>
      <c r="B490" s="13"/>
      <c r="C490" s="13"/>
      <c r="D490" s="14"/>
      <c r="E490" s="14"/>
      <c r="F490" s="14"/>
    </row>
    <row r="491" spans="1:6" s="11" customFormat="1" x14ac:dyDescent="0.25">
      <c r="A491" s="12"/>
      <c r="B491" s="13"/>
      <c r="C491" s="13"/>
      <c r="D491" s="14"/>
      <c r="E491" s="14"/>
      <c r="F491" s="14"/>
    </row>
    <row r="492" spans="1:6" s="11" customFormat="1" x14ac:dyDescent="0.25">
      <c r="A492" s="12"/>
      <c r="B492" s="13"/>
      <c r="C492" s="13"/>
      <c r="D492" s="14"/>
      <c r="E492" s="14"/>
      <c r="F492" s="14"/>
    </row>
    <row r="493" spans="1:6" s="11" customFormat="1" x14ac:dyDescent="0.25">
      <c r="A493" s="12"/>
      <c r="B493" s="13"/>
      <c r="C493" s="13"/>
      <c r="D493" s="14"/>
      <c r="E493" s="14"/>
      <c r="F493" s="14"/>
    </row>
    <row r="494" spans="1:6" s="11" customFormat="1" x14ac:dyDescent="0.25">
      <c r="A494" s="12"/>
      <c r="B494" s="13"/>
      <c r="C494" s="13"/>
      <c r="D494" s="14"/>
      <c r="E494" s="14"/>
      <c r="F494" s="14"/>
    </row>
    <row r="495" spans="1:6" s="11" customFormat="1" x14ac:dyDescent="0.25">
      <c r="A495" s="12"/>
      <c r="B495" s="13"/>
      <c r="C495" s="13"/>
      <c r="D495" s="14"/>
      <c r="E495" s="14"/>
      <c r="F495" s="14"/>
    </row>
    <row r="496" spans="1:6" s="11" customFormat="1" x14ac:dyDescent="0.25">
      <c r="A496" s="12"/>
      <c r="B496" s="13"/>
      <c r="C496" s="13"/>
      <c r="D496" s="14"/>
      <c r="E496" s="14"/>
      <c r="F496" s="14"/>
    </row>
    <row r="497" spans="1:6" s="11" customFormat="1" x14ac:dyDescent="0.25">
      <c r="A497" s="12"/>
      <c r="B497" s="13"/>
      <c r="C497" s="13"/>
      <c r="D497" s="14"/>
      <c r="E497" s="14"/>
      <c r="F497" s="14"/>
    </row>
    <row r="498" spans="1:6" s="11" customFormat="1" x14ac:dyDescent="0.25">
      <c r="A498" s="12"/>
      <c r="B498" s="13"/>
      <c r="C498" s="13"/>
      <c r="D498" s="14"/>
      <c r="E498" s="14"/>
      <c r="F498" s="14"/>
    </row>
    <row r="499" spans="1:6" s="11" customFormat="1" x14ac:dyDescent="0.25">
      <c r="A499" s="12"/>
      <c r="B499" s="13"/>
      <c r="C499" s="13"/>
      <c r="D499" s="14"/>
      <c r="E499" s="14"/>
      <c r="F499" s="14"/>
    </row>
    <row r="500" spans="1:6" s="11" customFormat="1" x14ac:dyDescent="0.25">
      <c r="A500" s="12"/>
      <c r="B500" s="13"/>
      <c r="C500" s="13"/>
      <c r="D500" s="14"/>
      <c r="E500" s="14"/>
      <c r="F500" s="14"/>
    </row>
    <row r="501" spans="1:6" s="11" customFormat="1" x14ac:dyDescent="0.25">
      <c r="A501" s="12"/>
      <c r="B501" s="13"/>
      <c r="C501" s="13"/>
      <c r="D501" s="14"/>
      <c r="E501" s="14"/>
      <c r="F501" s="14"/>
    </row>
    <row r="502" spans="1:6" s="11" customFormat="1" x14ac:dyDescent="0.25">
      <c r="A502" s="12"/>
      <c r="B502" s="13"/>
      <c r="C502" s="13"/>
      <c r="D502" s="14"/>
      <c r="E502" s="14"/>
      <c r="F502" s="14"/>
    </row>
    <row r="503" spans="1:6" s="11" customFormat="1" x14ac:dyDescent="0.25">
      <c r="A503" s="12"/>
      <c r="B503" s="13"/>
      <c r="C503" s="13"/>
      <c r="D503" s="14"/>
      <c r="E503" s="14"/>
      <c r="F503" s="14"/>
    </row>
    <row r="504" spans="1:6" s="11" customFormat="1" x14ac:dyDescent="0.25">
      <c r="A504" s="12"/>
      <c r="B504" s="13"/>
      <c r="C504" s="13"/>
      <c r="D504" s="14"/>
      <c r="E504" s="14"/>
      <c r="F504" s="14"/>
    </row>
    <row r="505" spans="1:6" s="11" customFormat="1" x14ac:dyDescent="0.25">
      <c r="A505" s="12"/>
      <c r="B505" s="13"/>
      <c r="C505" s="13"/>
      <c r="D505" s="14"/>
      <c r="E505" s="14"/>
      <c r="F505" s="14"/>
    </row>
    <row r="506" spans="1:6" s="11" customFormat="1" x14ac:dyDescent="0.25">
      <c r="A506" s="12"/>
      <c r="B506" s="13"/>
      <c r="C506" s="13"/>
      <c r="D506" s="14"/>
      <c r="E506" s="14"/>
      <c r="F506" s="14"/>
    </row>
    <row r="507" spans="1:6" s="11" customFormat="1" x14ac:dyDescent="0.25">
      <c r="A507" s="12"/>
      <c r="B507" s="13"/>
      <c r="C507" s="13"/>
      <c r="D507" s="14"/>
      <c r="E507" s="14"/>
      <c r="F507" s="14"/>
    </row>
    <row r="508" spans="1:6" s="11" customFormat="1" x14ac:dyDescent="0.25">
      <c r="A508" s="12"/>
      <c r="B508" s="13"/>
      <c r="C508" s="13"/>
      <c r="D508" s="14"/>
      <c r="E508" s="14"/>
      <c r="F508" s="14"/>
    </row>
    <row r="509" spans="1:6" s="11" customFormat="1" x14ac:dyDescent="0.25">
      <c r="A509" s="12"/>
      <c r="B509" s="13"/>
      <c r="C509" s="13"/>
      <c r="D509" s="14"/>
      <c r="E509" s="14"/>
      <c r="F509" s="14"/>
    </row>
    <row r="510" spans="1:6" s="11" customFormat="1" x14ac:dyDescent="0.25">
      <c r="A510" s="12"/>
      <c r="B510" s="13"/>
      <c r="C510" s="13"/>
      <c r="D510" s="14"/>
      <c r="E510" s="14"/>
      <c r="F510" s="14"/>
    </row>
    <row r="511" spans="1:6" s="11" customFormat="1" x14ac:dyDescent="0.25">
      <c r="A511" s="12"/>
      <c r="B511" s="13"/>
      <c r="C511" s="13"/>
      <c r="D511" s="14"/>
      <c r="E511" s="14"/>
      <c r="F511" s="14"/>
    </row>
    <row r="512" spans="1:6" s="11" customFormat="1" x14ac:dyDescent="0.25">
      <c r="A512" s="12"/>
      <c r="B512" s="13"/>
      <c r="C512" s="13"/>
      <c r="D512" s="14"/>
      <c r="E512" s="14"/>
      <c r="F512" s="14"/>
    </row>
    <row r="513" spans="1:6" s="11" customFormat="1" x14ac:dyDescent="0.25">
      <c r="A513" s="12"/>
      <c r="B513" s="13"/>
      <c r="C513" s="13"/>
      <c r="D513" s="14"/>
      <c r="E513" s="14"/>
      <c r="F513" s="14"/>
    </row>
    <row r="514" spans="1:6" s="11" customFormat="1" x14ac:dyDescent="0.25">
      <c r="A514" s="12"/>
      <c r="B514" s="13"/>
      <c r="C514" s="13"/>
      <c r="D514" s="14"/>
      <c r="E514" s="14"/>
      <c r="F514" s="14"/>
    </row>
    <row r="515" spans="1:6" s="11" customFormat="1" x14ac:dyDescent="0.25">
      <c r="A515" s="12"/>
      <c r="B515" s="13"/>
      <c r="C515" s="13"/>
      <c r="D515" s="14"/>
      <c r="E515" s="14"/>
      <c r="F515" s="14"/>
    </row>
    <row r="516" spans="1:6" s="11" customFormat="1" x14ac:dyDescent="0.25">
      <c r="A516" s="12"/>
      <c r="B516" s="13"/>
      <c r="C516" s="13"/>
      <c r="D516" s="14"/>
      <c r="E516" s="14"/>
      <c r="F516" s="14"/>
    </row>
    <row r="517" spans="1:6" s="11" customFormat="1" x14ac:dyDescent="0.25">
      <c r="A517" s="12"/>
      <c r="B517" s="13"/>
      <c r="C517" s="13"/>
      <c r="D517" s="14"/>
      <c r="E517" s="14"/>
      <c r="F517" s="14"/>
    </row>
    <row r="518" spans="1:6" s="11" customFormat="1" x14ac:dyDescent="0.25">
      <c r="A518" s="12"/>
      <c r="B518" s="13"/>
      <c r="C518" s="13"/>
      <c r="D518" s="14"/>
      <c r="E518" s="14"/>
      <c r="F518" s="14"/>
    </row>
    <row r="519" spans="1:6" s="11" customFormat="1" x14ac:dyDescent="0.25">
      <c r="A519" s="12"/>
      <c r="B519" s="13"/>
      <c r="C519" s="13"/>
      <c r="D519" s="14"/>
      <c r="E519" s="14"/>
      <c r="F519" s="14"/>
    </row>
    <row r="520" spans="1:6" s="11" customFormat="1" x14ac:dyDescent="0.25">
      <c r="A520" s="12"/>
      <c r="B520" s="13"/>
      <c r="C520" s="13"/>
      <c r="D520" s="14"/>
      <c r="E520" s="14"/>
      <c r="F520" s="14"/>
    </row>
    <row r="521" spans="1:6" s="11" customFormat="1" x14ac:dyDescent="0.25">
      <c r="A521" s="12"/>
      <c r="B521" s="13"/>
      <c r="C521" s="13"/>
      <c r="D521" s="14"/>
      <c r="E521" s="14"/>
      <c r="F521" s="14"/>
    </row>
    <row r="522" spans="1:6" s="11" customFormat="1" x14ac:dyDescent="0.25">
      <c r="A522" s="12"/>
      <c r="B522" s="13"/>
      <c r="C522" s="13"/>
      <c r="D522" s="14"/>
      <c r="E522" s="14"/>
      <c r="F522" s="14"/>
    </row>
    <row r="523" spans="1:6" s="11" customFormat="1" x14ac:dyDescent="0.25">
      <c r="A523" s="12"/>
      <c r="B523" s="13"/>
      <c r="C523" s="13"/>
      <c r="D523" s="14"/>
      <c r="E523" s="14"/>
      <c r="F523" s="14"/>
    </row>
    <row r="524" spans="1:6" s="11" customFormat="1" x14ac:dyDescent="0.25">
      <c r="A524" s="12"/>
      <c r="B524" s="13"/>
      <c r="C524" s="13"/>
      <c r="D524" s="14"/>
      <c r="E524" s="14"/>
      <c r="F524" s="14"/>
    </row>
    <row r="525" spans="1:6" s="11" customFormat="1" x14ac:dyDescent="0.25">
      <c r="A525" s="12"/>
      <c r="B525" s="13"/>
      <c r="C525" s="13"/>
      <c r="D525" s="14"/>
      <c r="E525" s="14"/>
      <c r="F525" s="14"/>
    </row>
    <row r="526" spans="1:6" s="11" customFormat="1" x14ac:dyDescent="0.25">
      <c r="A526" s="12"/>
      <c r="B526" s="13"/>
      <c r="C526" s="13"/>
      <c r="D526" s="14"/>
      <c r="E526" s="14"/>
      <c r="F526" s="14"/>
    </row>
    <row r="527" spans="1:6" s="11" customFormat="1" x14ac:dyDescent="0.25">
      <c r="A527" s="12"/>
      <c r="B527" s="13"/>
      <c r="C527" s="13"/>
      <c r="D527" s="14"/>
      <c r="E527" s="14"/>
      <c r="F527" s="14"/>
    </row>
    <row r="528" spans="1:6" s="11" customFormat="1" x14ac:dyDescent="0.25">
      <c r="A528" s="12"/>
      <c r="B528" s="13"/>
      <c r="C528" s="13"/>
      <c r="D528" s="14"/>
      <c r="E528" s="14"/>
      <c r="F528" s="14"/>
    </row>
    <row r="529" spans="1:6" s="11" customFormat="1" x14ac:dyDescent="0.25">
      <c r="A529" s="12"/>
      <c r="B529" s="13"/>
      <c r="C529" s="13"/>
      <c r="D529" s="14"/>
      <c r="E529" s="14"/>
      <c r="F529" s="14"/>
    </row>
    <row r="530" spans="1:6" s="11" customFormat="1" x14ac:dyDescent="0.25">
      <c r="A530" s="12"/>
      <c r="B530" s="13"/>
      <c r="C530" s="13"/>
      <c r="D530" s="14"/>
      <c r="E530" s="14"/>
      <c r="F530" s="14"/>
    </row>
    <row r="531" spans="1:6" s="11" customFormat="1" x14ac:dyDescent="0.25">
      <c r="A531" s="12"/>
      <c r="B531" s="13"/>
      <c r="C531" s="13"/>
      <c r="D531" s="14"/>
      <c r="E531" s="14"/>
      <c r="F531" s="14"/>
    </row>
    <row r="532" spans="1:6" s="11" customFormat="1" x14ac:dyDescent="0.25">
      <c r="A532" s="12"/>
      <c r="B532" s="13"/>
      <c r="C532" s="13"/>
      <c r="D532" s="14"/>
      <c r="E532" s="14"/>
      <c r="F532" s="14"/>
    </row>
    <row r="533" spans="1:6" s="11" customFormat="1" x14ac:dyDescent="0.25">
      <c r="A533" s="12"/>
      <c r="B533" s="13"/>
      <c r="C533" s="13"/>
      <c r="D533" s="14"/>
      <c r="E533" s="14"/>
      <c r="F533" s="14"/>
    </row>
    <row r="534" spans="1:6" s="11" customFormat="1" x14ac:dyDescent="0.25">
      <c r="A534" s="12"/>
      <c r="B534" s="13"/>
      <c r="C534" s="13"/>
      <c r="D534" s="14"/>
      <c r="E534" s="14"/>
      <c r="F534" s="14"/>
    </row>
    <row r="535" spans="1:6" s="11" customFormat="1" x14ac:dyDescent="0.25">
      <c r="A535" s="12"/>
      <c r="B535" s="13"/>
      <c r="C535" s="13"/>
      <c r="D535" s="14"/>
      <c r="E535" s="14"/>
      <c r="F535" s="14"/>
    </row>
    <row r="536" spans="1:6" s="11" customFormat="1" x14ac:dyDescent="0.25">
      <c r="A536" s="12"/>
      <c r="B536" s="13"/>
      <c r="C536" s="13"/>
      <c r="D536" s="14"/>
      <c r="E536" s="14"/>
      <c r="F536" s="14"/>
    </row>
    <row r="537" spans="1:6" s="11" customFormat="1" x14ac:dyDescent="0.25">
      <c r="A537" s="12"/>
      <c r="B537" s="13"/>
      <c r="C537" s="13"/>
      <c r="D537" s="14"/>
      <c r="E537" s="14"/>
      <c r="F537" s="14"/>
    </row>
    <row r="538" spans="1:6" s="11" customFormat="1" x14ac:dyDescent="0.25">
      <c r="A538" s="12"/>
      <c r="B538" s="13"/>
      <c r="C538" s="13"/>
      <c r="D538" s="14"/>
      <c r="E538" s="14"/>
      <c r="F538" s="14"/>
    </row>
    <row r="539" spans="1:6" s="11" customFormat="1" x14ac:dyDescent="0.25">
      <c r="A539" s="12"/>
      <c r="B539" s="13"/>
      <c r="C539" s="13"/>
      <c r="D539" s="14"/>
      <c r="E539" s="14"/>
      <c r="F539" s="14"/>
    </row>
    <row r="540" spans="1:6" s="11" customFormat="1" x14ac:dyDescent="0.25">
      <c r="A540" s="12"/>
      <c r="B540" s="13"/>
      <c r="C540" s="13"/>
      <c r="D540" s="14"/>
      <c r="E540" s="14"/>
      <c r="F540" s="14"/>
    </row>
    <row r="541" spans="1:6" s="11" customFormat="1" x14ac:dyDescent="0.25">
      <c r="A541" s="12"/>
      <c r="B541" s="13"/>
      <c r="C541" s="13"/>
      <c r="D541" s="14"/>
      <c r="E541" s="14"/>
      <c r="F541" s="14"/>
    </row>
    <row r="542" spans="1:6" s="11" customFormat="1" x14ac:dyDescent="0.25">
      <c r="A542" s="12"/>
      <c r="B542" s="13"/>
      <c r="C542" s="13"/>
      <c r="D542" s="14"/>
      <c r="E542" s="14"/>
      <c r="F542" s="14"/>
    </row>
    <row r="543" spans="1:6" s="11" customFormat="1" x14ac:dyDescent="0.25">
      <c r="A543" s="12"/>
      <c r="B543" s="13"/>
      <c r="C543" s="13"/>
      <c r="D543" s="14"/>
      <c r="E543" s="14"/>
      <c r="F543" s="14"/>
    </row>
    <row r="544" spans="1:6" s="11" customFormat="1" x14ac:dyDescent="0.25">
      <c r="A544" s="12"/>
      <c r="B544" s="13"/>
      <c r="C544" s="13"/>
      <c r="D544" s="14"/>
      <c r="E544" s="14"/>
      <c r="F544" s="14"/>
    </row>
    <row r="545" spans="1:6" s="11" customFormat="1" x14ac:dyDescent="0.25">
      <c r="A545" s="12"/>
      <c r="B545" s="13"/>
      <c r="C545" s="13"/>
      <c r="D545" s="14"/>
      <c r="E545" s="14"/>
      <c r="F545" s="14"/>
    </row>
    <row r="546" spans="1:6" s="11" customFormat="1" x14ac:dyDescent="0.25">
      <c r="A546" s="12"/>
      <c r="B546" s="13"/>
      <c r="C546" s="13"/>
      <c r="D546" s="14"/>
      <c r="E546" s="14"/>
      <c r="F546" s="14"/>
    </row>
    <row r="547" spans="1:6" s="11" customFormat="1" x14ac:dyDescent="0.25">
      <c r="A547" s="12"/>
      <c r="B547" s="13"/>
      <c r="C547" s="13"/>
      <c r="D547" s="14"/>
      <c r="E547" s="14"/>
      <c r="F547" s="14"/>
    </row>
    <row r="548" spans="1:6" s="11" customFormat="1" x14ac:dyDescent="0.25">
      <c r="A548" s="12"/>
      <c r="B548" s="13"/>
      <c r="C548" s="13"/>
      <c r="D548" s="14"/>
      <c r="E548" s="14"/>
      <c r="F548" s="14"/>
    </row>
    <row r="549" spans="1:6" s="11" customFormat="1" x14ac:dyDescent="0.25">
      <c r="A549" s="12"/>
      <c r="B549" s="13"/>
      <c r="C549" s="13"/>
      <c r="D549" s="14"/>
      <c r="E549" s="14"/>
      <c r="F549" s="14"/>
    </row>
    <row r="550" spans="1:6" s="11" customFormat="1" x14ac:dyDescent="0.25">
      <c r="A550" s="12"/>
      <c r="B550" s="13"/>
      <c r="C550" s="13"/>
      <c r="D550" s="14"/>
      <c r="E550" s="14"/>
      <c r="F550" s="14"/>
    </row>
    <row r="551" spans="1:6" s="11" customFormat="1" x14ac:dyDescent="0.25">
      <c r="A551" s="12"/>
      <c r="B551" s="13"/>
      <c r="C551" s="13"/>
      <c r="D551" s="14"/>
      <c r="E551" s="14"/>
      <c r="F551" s="14"/>
    </row>
    <row r="552" spans="1:6" s="11" customFormat="1" x14ac:dyDescent="0.25">
      <c r="A552" s="12"/>
      <c r="B552" s="13"/>
      <c r="C552" s="13"/>
      <c r="D552" s="14"/>
      <c r="E552" s="14"/>
      <c r="F552" s="14"/>
    </row>
    <row r="553" spans="1:6" s="11" customFormat="1" x14ac:dyDescent="0.25">
      <c r="A553" s="12"/>
      <c r="B553" s="13"/>
      <c r="C553" s="13"/>
      <c r="D553" s="14"/>
      <c r="E553" s="14"/>
      <c r="F553" s="14"/>
    </row>
    <row r="554" spans="1:6" s="11" customFormat="1" x14ac:dyDescent="0.25">
      <c r="A554" s="12"/>
      <c r="B554" s="13"/>
      <c r="C554" s="13"/>
      <c r="D554" s="14"/>
      <c r="E554" s="14"/>
      <c r="F554" s="14"/>
    </row>
    <row r="555" spans="1:6" s="11" customFormat="1" x14ac:dyDescent="0.25">
      <c r="A555" s="12"/>
      <c r="B555" s="13"/>
      <c r="C555" s="13"/>
      <c r="D555" s="14"/>
      <c r="E555" s="14"/>
      <c r="F555" s="14"/>
    </row>
    <row r="556" spans="1:6" s="11" customFormat="1" x14ac:dyDescent="0.25">
      <c r="A556" s="12"/>
      <c r="B556" s="13"/>
      <c r="C556" s="13"/>
      <c r="D556" s="14"/>
      <c r="E556" s="14"/>
      <c r="F556" s="14"/>
    </row>
    <row r="557" spans="1:6" s="11" customFormat="1" x14ac:dyDescent="0.25">
      <c r="A557" s="12"/>
      <c r="B557" s="13"/>
      <c r="C557" s="13"/>
      <c r="D557" s="14"/>
      <c r="E557" s="14"/>
      <c r="F557" s="14"/>
    </row>
    <row r="558" spans="1:6" s="11" customFormat="1" x14ac:dyDescent="0.25">
      <c r="A558" s="12"/>
      <c r="B558" s="13"/>
      <c r="C558" s="13"/>
      <c r="D558" s="14"/>
      <c r="E558" s="14"/>
      <c r="F558" s="14"/>
    </row>
    <row r="559" spans="1:6" s="11" customFormat="1" x14ac:dyDescent="0.25">
      <c r="A559" s="12"/>
      <c r="B559" s="13"/>
      <c r="C559" s="13"/>
      <c r="D559" s="14"/>
      <c r="E559" s="14"/>
      <c r="F559" s="14"/>
    </row>
    <row r="560" spans="1:6" s="11" customFormat="1" x14ac:dyDescent="0.25">
      <c r="A560" s="12"/>
      <c r="B560" s="13"/>
      <c r="C560" s="13"/>
      <c r="D560" s="14"/>
      <c r="E560" s="14"/>
      <c r="F560" s="14"/>
    </row>
    <row r="561" spans="1:6" s="11" customFormat="1" x14ac:dyDescent="0.25">
      <c r="A561" s="12"/>
      <c r="B561" s="13"/>
      <c r="C561" s="13"/>
      <c r="D561" s="14"/>
      <c r="E561" s="14"/>
      <c r="F561" s="14"/>
    </row>
    <row r="562" spans="1:6" s="11" customFormat="1" x14ac:dyDescent="0.25">
      <c r="A562" s="12"/>
      <c r="B562" s="13"/>
      <c r="C562" s="13"/>
      <c r="D562" s="14"/>
      <c r="E562" s="14"/>
      <c r="F562" s="14"/>
    </row>
    <row r="563" spans="1:6" s="11" customFormat="1" x14ac:dyDescent="0.25">
      <c r="A563" s="12"/>
      <c r="B563" s="13"/>
      <c r="C563" s="13"/>
      <c r="D563" s="14"/>
      <c r="E563" s="14"/>
      <c r="F563" s="14"/>
    </row>
    <row r="564" spans="1:6" s="11" customFormat="1" x14ac:dyDescent="0.25">
      <c r="A564" s="12"/>
      <c r="B564" s="13"/>
      <c r="C564" s="13"/>
      <c r="D564" s="14"/>
      <c r="E564" s="14"/>
      <c r="F564" s="14"/>
    </row>
    <row r="565" spans="1:6" s="11" customFormat="1" x14ac:dyDescent="0.25">
      <c r="A565" s="12"/>
      <c r="B565" s="13"/>
      <c r="C565" s="13"/>
      <c r="D565" s="14"/>
      <c r="E565" s="14"/>
      <c r="F565" s="14"/>
    </row>
    <row r="566" spans="1:6" s="11" customFormat="1" x14ac:dyDescent="0.25">
      <c r="A566" s="12"/>
      <c r="B566" s="13"/>
      <c r="C566" s="13"/>
      <c r="D566" s="14"/>
      <c r="E566" s="14"/>
      <c r="F566" s="14"/>
    </row>
    <row r="567" spans="1:6" s="11" customFormat="1" x14ac:dyDescent="0.25">
      <c r="A567" s="12"/>
      <c r="B567" s="13"/>
      <c r="C567" s="13"/>
      <c r="D567" s="14"/>
      <c r="E567" s="14"/>
      <c r="F567" s="14"/>
    </row>
    <row r="568" spans="1:6" s="11" customFormat="1" x14ac:dyDescent="0.25">
      <c r="A568" s="12"/>
      <c r="B568" s="13"/>
      <c r="C568" s="13"/>
      <c r="D568" s="14"/>
      <c r="E568" s="14"/>
      <c r="F568" s="14"/>
    </row>
    <row r="569" spans="1:6" s="11" customFormat="1" x14ac:dyDescent="0.25">
      <c r="A569" s="12"/>
      <c r="B569" s="13"/>
      <c r="C569" s="13"/>
      <c r="D569" s="14"/>
      <c r="E569" s="14"/>
      <c r="F569" s="14"/>
    </row>
    <row r="570" spans="1:6" s="11" customFormat="1" x14ac:dyDescent="0.25">
      <c r="A570" s="12"/>
      <c r="B570" s="13"/>
      <c r="C570" s="13"/>
      <c r="D570" s="14"/>
      <c r="E570" s="14"/>
      <c r="F570" s="14"/>
    </row>
    <row r="571" spans="1:6" s="11" customFormat="1" x14ac:dyDescent="0.25">
      <c r="A571" s="12"/>
      <c r="B571" s="13"/>
      <c r="C571" s="13"/>
      <c r="D571" s="14"/>
      <c r="E571" s="14"/>
      <c r="F571" s="14"/>
    </row>
    <row r="572" spans="1:6" s="11" customFormat="1" x14ac:dyDescent="0.25">
      <c r="A572" s="12"/>
      <c r="B572" s="13"/>
      <c r="C572" s="13"/>
      <c r="D572" s="14"/>
      <c r="E572" s="14"/>
      <c r="F572" s="14"/>
    </row>
    <row r="573" spans="1:6" s="11" customFormat="1" x14ac:dyDescent="0.25">
      <c r="A573" s="12"/>
      <c r="B573" s="13"/>
      <c r="C573" s="13"/>
      <c r="D573" s="14"/>
      <c r="E573" s="14"/>
      <c r="F573" s="14"/>
    </row>
    <row r="574" spans="1:6" s="11" customFormat="1" x14ac:dyDescent="0.25">
      <c r="A574" s="12"/>
      <c r="B574" s="13"/>
      <c r="C574" s="13"/>
      <c r="D574" s="14"/>
      <c r="E574" s="14"/>
      <c r="F574" s="14"/>
    </row>
    <row r="575" spans="1:6" s="11" customFormat="1" x14ac:dyDescent="0.25">
      <c r="A575" s="12"/>
      <c r="B575" s="13"/>
      <c r="C575" s="13"/>
      <c r="D575" s="14"/>
      <c r="E575" s="14"/>
      <c r="F575" s="14"/>
    </row>
    <row r="576" spans="1:6" s="11" customFormat="1" x14ac:dyDescent="0.25">
      <c r="A576" s="12"/>
      <c r="B576" s="13"/>
      <c r="C576" s="13"/>
      <c r="D576" s="14"/>
      <c r="E576" s="14"/>
      <c r="F576" s="14"/>
    </row>
    <row r="577" spans="1:6" s="11" customFormat="1" x14ac:dyDescent="0.25">
      <c r="A577" s="12"/>
      <c r="B577" s="13"/>
      <c r="C577" s="13"/>
      <c r="D577" s="14"/>
      <c r="E577" s="14"/>
      <c r="F577" s="14"/>
    </row>
    <row r="578" spans="1:6" s="11" customFormat="1" x14ac:dyDescent="0.25">
      <c r="A578" s="12"/>
      <c r="B578" s="13"/>
      <c r="C578" s="13"/>
      <c r="D578" s="14"/>
      <c r="E578" s="14"/>
      <c r="F578" s="14"/>
    </row>
    <row r="579" spans="1:6" s="11" customFormat="1" x14ac:dyDescent="0.25">
      <c r="A579" s="12"/>
      <c r="B579" s="13"/>
      <c r="C579" s="13"/>
      <c r="D579" s="14"/>
      <c r="E579" s="14"/>
      <c r="F579" s="14"/>
    </row>
    <row r="580" spans="1:6" s="11" customFormat="1" x14ac:dyDescent="0.25">
      <c r="A580" s="12"/>
      <c r="B580" s="13"/>
      <c r="C580" s="13"/>
      <c r="D580" s="14"/>
      <c r="E580" s="14"/>
      <c r="F580" s="14"/>
    </row>
    <row r="581" spans="1:6" s="11" customFormat="1" x14ac:dyDescent="0.25">
      <c r="A581" s="12"/>
      <c r="B581" s="13"/>
      <c r="C581" s="13"/>
      <c r="D581" s="14"/>
      <c r="E581" s="14"/>
      <c r="F581" s="14"/>
    </row>
    <row r="582" spans="1:6" s="11" customFormat="1" x14ac:dyDescent="0.25">
      <c r="A582" s="12"/>
      <c r="B582" s="13"/>
      <c r="C582" s="13"/>
      <c r="D582" s="14"/>
      <c r="E582" s="14"/>
      <c r="F582" s="14"/>
    </row>
    <row r="583" spans="1:6" s="11" customFormat="1" x14ac:dyDescent="0.25">
      <c r="A583" s="12"/>
      <c r="B583" s="13"/>
      <c r="C583" s="13"/>
      <c r="D583" s="14"/>
      <c r="E583" s="14"/>
      <c r="F583" s="14"/>
    </row>
    <row r="584" spans="1:6" s="11" customFormat="1" x14ac:dyDescent="0.25">
      <c r="A584" s="12"/>
      <c r="B584" s="13"/>
      <c r="C584" s="13"/>
      <c r="D584" s="14"/>
      <c r="E584" s="14"/>
      <c r="F584" s="14"/>
    </row>
    <row r="585" spans="1:6" s="11" customFormat="1" x14ac:dyDescent="0.25">
      <c r="A585" s="12"/>
      <c r="B585" s="13"/>
      <c r="C585" s="13"/>
      <c r="D585" s="14"/>
      <c r="E585" s="14"/>
      <c r="F585" s="14"/>
    </row>
    <row r="586" spans="1:6" s="11" customFormat="1" x14ac:dyDescent="0.25">
      <c r="A586" s="12"/>
      <c r="B586" s="13"/>
      <c r="C586" s="13"/>
      <c r="D586" s="14"/>
      <c r="E586" s="14"/>
      <c r="F586" s="14"/>
    </row>
    <row r="587" spans="1:6" s="11" customFormat="1" x14ac:dyDescent="0.25">
      <c r="A587" s="12"/>
      <c r="B587" s="13"/>
      <c r="C587" s="13"/>
      <c r="D587" s="14"/>
      <c r="E587" s="14"/>
      <c r="F587" s="14"/>
    </row>
    <row r="588" spans="1:6" s="11" customFormat="1" x14ac:dyDescent="0.25">
      <c r="A588" s="12"/>
      <c r="B588" s="13"/>
      <c r="C588" s="13"/>
      <c r="D588" s="14"/>
      <c r="E588" s="14"/>
      <c r="F588" s="14"/>
    </row>
    <row r="589" spans="1:6" s="11" customFormat="1" x14ac:dyDescent="0.25">
      <c r="A589" s="12"/>
      <c r="B589" s="13"/>
      <c r="C589" s="13"/>
      <c r="D589" s="14"/>
      <c r="E589" s="14"/>
      <c r="F589" s="14"/>
    </row>
    <row r="590" spans="1:6" s="11" customFormat="1" x14ac:dyDescent="0.25">
      <c r="A590" s="12"/>
      <c r="B590" s="13"/>
      <c r="C590" s="13"/>
      <c r="D590" s="14"/>
      <c r="E590" s="14"/>
      <c r="F590" s="14"/>
    </row>
    <row r="591" spans="1:6" s="11" customFormat="1" x14ac:dyDescent="0.25">
      <c r="A591" s="12"/>
      <c r="B591" s="13"/>
      <c r="C591" s="13"/>
      <c r="D591" s="14"/>
      <c r="E591" s="14"/>
      <c r="F591" s="14"/>
    </row>
    <row r="592" spans="1:6" s="11" customFormat="1" x14ac:dyDescent="0.25">
      <c r="A592" s="12"/>
      <c r="B592" s="13"/>
      <c r="C592" s="13"/>
      <c r="D592" s="14"/>
      <c r="E592" s="14"/>
      <c r="F592" s="14"/>
    </row>
    <row r="593" spans="1:6" s="11" customFormat="1" x14ac:dyDescent="0.25">
      <c r="A593" s="12"/>
      <c r="B593" s="13"/>
      <c r="C593" s="13"/>
      <c r="D593" s="14"/>
      <c r="E593" s="14"/>
      <c r="F593" s="14"/>
    </row>
    <row r="594" spans="1:6" s="11" customFormat="1" x14ac:dyDescent="0.25">
      <c r="A594" s="12"/>
      <c r="B594" s="13"/>
      <c r="C594" s="13"/>
      <c r="D594" s="14"/>
      <c r="E594" s="14"/>
      <c r="F594" s="14"/>
    </row>
    <row r="595" spans="1:6" s="11" customFormat="1" x14ac:dyDescent="0.25">
      <c r="A595" s="12"/>
      <c r="B595" s="13"/>
      <c r="C595" s="13"/>
      <c r="D595" s="14"/>
      <c r="E595" s="14"/>
      <c r="F595" s="14"/>
    </row>
    <row r="596" spans="1:6" s="11" customFormat="1" x14ac:dyDescent="0.25">
      <c r="A596" s="12"/>
      <c r="B596" s="13"/>
      <c r="C596" s="13"/>
      <c r="D596" s="14"/>
      <c r="E596" s="14"/>
      <c r="F596" s="14"/>
    </row>
    <row r="597" spans="1:6" s="11" customFormat="1" x14ac:dyDescent="0.25">
      <c r="A597" s="12"/>
      <c r="B597" s="13"/>
      <c r="C597" s="13"/>
      <c r="D597" s="14"/>
      <c r="E597" s="14"/>
      <c r="F597" s="14"/>
    </row>
    <row r="598" spans="1:6" s="11" customFormat="1" x14ac:dyDescent="0.25">
      <c r="A598" s="12"/>
      <c r="B598" s="13"/>
      <c r="C598" s="13"/>
      <c r="D598" s="14"/>
      <c r="E598" s="14"/>
      <c r="F598" s="14"/>
    </row>
    <row r="599" spans="1:6" s="11" customFormat="1" x14ac:dyDescent="0.25">
      <c r="A599" s="12"/>
      <c r="B599" s="13"/>
      <c r="C599" s="13"/>
      <c r="D599" s="14"/>
      <c r="E599" s="14"/>
      <c r="F599" s="14"/>
    </row>
    <row r="600" spans="1:6" s="11" customFormat="1" x14ac:dyDescent="0.25">
      <c r="A600" s="12"/>
      <c r="B600" s="13"/>
      <c r="C600" s="13"/>
      <c r="D600" s="14"/>
      <c r="E600" s="14"/>
      <c r="F600" s="14"/>
    </row>
    <row r="601" spans="1:6" s="11" customFormat="1" x14ac:dyDescent="0.25">
      <c r="A601" s="12"/>
      <c r="B601" s="13"/>
      <c r="C601" s="13"/>
      <c r="D601" s="14"/>
      <c r="E601" s="14"/>
      <c r="F601" s="14"/>
    </row>
    <row r="602" spans="1:6" s="11" customFormat="1" x14ac:dyDescent="0.25">
      <c r="A602" s="12"/>
      <c r="B602" s="13"/>
      <c r="C602" s="13"/>
      <c r="D602" s="14"/>
      <c r="E602" s="14"/>
      <c r="F602" s="14"/>
    </row>
    <row r="603" spans="1:6" s="11" customFormat="1" x14ac:dyDescent="0.25">
      <c r="A603" s="12"/>
      <c r="B603" s="13"/>
      <c r="C603" s="13"/>
      <c r="D603" s="14"/>
      <c r="E603" s="14"/>
      <c r="F603" s="14"/>
    </row>
    <row r="604" spans="1:6" s="11" customFormat="1" x14ac:dyDescent="0.25">
      <c r="A604" s="12"/>
      <c r="B604" s="13"/>
      <c r="C604" s="13"/>
      <c r="D604" s="14"/>
      <c r="E604" s="14"/>
      <c r="F604" s="14"/>
    </row>
    <row r="605" spans="1:6" s="11" customFormat="1" x14ac:dyDescent="0.25">
      <c r="A605" s="12"/>
      <c r="B605" s="13"/>
      <c r="C605" s="13"/>
      <c r="D605" s="14"/>
      <c r="E605" s="14"/>
      <c r="F605" s="14"/>
    </row>
    <row r="606" spans="1:6" s="11" customFormat="1" x14ac:dyDescent="0.25">
      <c r="A606" s="12"/>
      <c r="B606" s="13"/>
      <c r="C606" s="13"/>
      <c r="D606" s="14"/>
      <c r="E606" s="14"/>
      <c r="F606" s="14"/>
    </row>
    <row r="607" spans="1:6" s="11" customFormat="1" x14ac:dyDescent="0.25">
      <c r="A607" s="12"/>
      <c r="B607" s="13"/>
      <c r="C607" s="13"/>
      <c r="D607" s="14"/>
      <c r="E607" s="14"/>
      <c r="F607" s="14"/>
    </row>
    <row r="608" spans="1:6" s="11" customFormat="1" x14ac:dyDescent="0.25">
      <c r="A608" s="12"/>
      <c r="B608" s="13"/>
      <c r="C608" s="13"/>
      <c r="D608" s="14"/>
      <c r="E608" s="14"/>
      <c r="F608" s="14"/>
    </row>
    <row r="609" spans="1:6" s="11" customFormat="1" x14ac:dyDescent="0.25">
      <c r="A609" s="12"/>
      <c r="B609" s="13"/>
      <c r="C609" s="13"/>
      <c r="D609" s="14"/>
      <c r="E609" s="14"/>
      <c r="F609" s="14"/>
    </row>
    <row r="610" spans="1:6" s="11" customFormat="1" x14ac:dyDescent="0.25">
      <c r="A610" s="12"/>
      <c r="B610" s="13"/>
      <c r="C610" s="13"/>
      <c r="D610" s="14"/>
      <c r="E610" s="14"/>
      <c r="F610" s="14"/>
    </row>
    <row r="611" spans="1:6" s="11" customFormat="1" x14ac:dyDescent="0.25">
      <c r="A611" s="12"/>
      <c r="B611" s="13"/>
      <c r="C611" s="13"/>
      <c r="D611" s="14"/>
      <c r="E611" s="14"/>
      <c r="F611" s="14"/>
    </row>
    <row r="612" spans="1:6" s="11" customFormat="1" x14ac:dyDescent="0.25">
      <c r="A612" s="12"/>
      <c r="B612" s="13"/>
      <c r="C612" s="13"/>
      <c r="D612" s="14"/>
      <c r="E612" s="14"/>
      <c r="F612" s="14"/>
    </row>
    <row r="613" spans="1:6" s="11" customFormat="1" x14ac:dyDescent="0.25">
      <c r="A613" s="12"/>
      <c r="B613" s="13"/>
      <c r="C613" s="13"/>
      <c r="D613" s="14"/>
      <c r="E613" s="14"/>
      <c r="F613" s="14"/>
    </row>
    <row r="614" spans="1:6" s="11" customFormat="1" x14ac:dyDescent="0.25">
      <c r="A614" s="12"/>
      <c r="B614" s="13"/>
      <c r="C614" s="13"/>
      <c r="D614" s="14"/>
      <c r="E614" s="14"/>
      <c r="F614" s="14"/>
    </row>
    <row r="615" spans="1:6" s="11" customFormat="1" x14ac:dyDescent="0.25">
      <c r="A615" s="12"/>
      <c r="B615" s="13"/>
      <c r="C615" s="13"/>
      <c r="D615" s="14"/>
      <c r="E615" s="14"/>
      <c r="F615" s="14"/>
    </row>
    <row r="616" spans="1:6" s="11" customFormat="1" x14ac:dyDescent="0.25">
      <c r="A616" s="12"/>
      <c r="B616" s="13"/>
      <c r="C616" s="13"/>
      <c r="D616" s="14"/>
      <c r="E616" s="14"/>
      <c r="F616" s="14"/>
    </row>
    <row r="617" spans="1:6" s="11" customFormat="1" x14ac:dyDescent="0.25">
      <c r="A617" s="12"/>
      <c r="B617" s="13"/>
      <c r="C617" s="13"/>
      <c r="D617" s="14"/>
      <c r="E617" s="14"/>
      <c r="F617" s="14"/>
    </row>
    <row r="618" spans="1:6" s="11" customFormat="1" x14ac:dyDescent="0.25">
      <c r="A618" s="12"/>
      <c r="B618" s="13"/>
      <c r="C618" s="13"/>
      <c r="D618" s="14"/>
      <c r="E618" s="14"/>
      <c r="F618" s="14"/>
    </row>
    <row r="619" spans="1:6" s="11" customFormat="1" x14ac:dyDescent="0.25">
      <c r="A619" s="12"/>
      <c r="B619" s="13"/>
      <c r="C619" s="13"/>
      <c r="D619" s="14"/>
      <c r="E619" s="14"/>
      <c r="F619" s="14"/>
    </row>
    <row r="620" spans="1:6" s="11" customFormat="1" x14ac:dyDescent="0.25">
      <c r="A620" s="12"/>
      <c r="B620" s="13"/>
      <c r="C620" s="13"/>
      <c r="D620" s="14"/>
      <c r="E620" s="14"/>
      <c r="F620" s="14"/>
    </row>
    <row r="621" spans="1:6" s="11" customFormat="1" x14ac:dyDescent="0.25">
      <c r="A621" s="12"/>
      <c r="B621" s="13"/>
      <c r="C621" s="13"/>
      <c r="D621" s="14"/>
      <c r="E621" s="14"/>
      <c r="F621" s="14"/>
    </row>
    <row r="622" spans="1:6" s="11" customFormat="1" x14ac:dyDescent="0.25">
      <c r="A622" s="12"/>
      <c r="B622" s="13"/>
      <c r="C622" s="13"/>
      <c r="D622" s="14"/>
      <c r="E622" s="14"/>
      <c r="F622" s="14"/>
    </row>
    <row r="623" spans="1:6" s="11" customFormat="1" x14ac:dyDescent="0.25">
      <c r="A623" s="12"/>
      <c r="B623" s="13"/>
      <c r="C623" s="13"/>
      <c r="D623" s="14"/>
      <c r="E623" s="14"/>
      <c r="F623" s="14"/>
    </row>
    <row r="624" spans="1:6" s="11" customFormat="1" x14ac:dyDescent="0.25">
      <c r="A624" s="12"/>
      <c r="B624" s="13"/>
      <c r="C624" s="13"/>
      <c r="D624" s="14"/>
      <c r="E624" s="14"/>
      <c r="F624" s="14"/>
    </row>
    <row r="625" spans="1:6" s="11" customFormat="1" x14ac:dyDescent="0.25">
      <c r="A625" s="12"/>
      <c r="B625" s="13"/>
      <c r="C625" s="13"/>
      <c r="D625" s="14"/>
      <c r="E625" s="14"/>
      <c r="F625" s="14"/>
    </row>
    <row r="626" spans="1:6" s="11" customFormat="1" x14ac:dyDescent="0.25">
      <c r="A626" s="12"/>
      <c r="B626" s="13"/>
      <c r="C626" s="13"/>
      <c r="D626" s="14"/>
      <c r="E626" s="14"/>
      <c r="F626" s="14"/>
    </row>
    <row r="627" spans="1:6" s="11" customFormat="1" x14ac:dyDescent="0.25">
      <c r="A627" s="12"/>
      <c r="B627" s="13"/>
      <c r="C627" s="13"/>
      <c r="D627" s="14"/>
      <c r="E627" s="14"/>
      <c r="F627" s="14"/>
    </row>
    <row r="628" spans="1:6" s="11" customFormat="1" x14ac:dyDescent="0.25">
      <c r="A628" s="12"/>
      <c r="B628" s="13"/>
      <c r="C628" s="13"/>
      <c r="D628" s="14"/>
      <c r="E628" s="14"/>
      <c r="F628" s="14"/>
    </row>
    <row r="629" spans="1:6" s="11" customFormat="1" x14ac:dyDescent="0.25">
      <c r="A629" s="12"/>
      <c r="B629" s="13"/>
      <c r="C629" s="13"/>
      <c r="D629" s="14"/>
      <c r="E629" s="14"/>
      <c r="F629" s="14"/>
    </row>
    <row r="630" spans="1:6" s="11" customFormat="1" x14ac:dyDescent="0.25">
      <c r="A630" s="12"/>
      <c r="B630" s="13"/>
      <c r="C630" s="13"/>
      <c r="D630" s="14"/>
      <c r="E630" s="14"/>
      <c r="F630" s="14"/>
    </row>
    <row r="631" spans="1:6" s="11" customFormat="1" x14ac:dyDescent="0.25">
      <c r="A631" s="12"/>
      <c r="B631" s="13"/>
      <c r="C631" s="13"/>
      <c r="D631" s="14"/>
      <c r="E631" s="14"/>
      <c r="F631" s="14"/>
    </row>
    <row r="632" spans="1:6" s="11" customFormat="1" x14ac:dyDescent="0.25">
      <c r="A632" s="12"/>
      <c r="B632" s="13"/>
      <c r="C632" s="13"/>
      <c r="D632" s="14"/>
      <c r="E632" s="14"/>
      <c r="F632" s="14"/>
    </row>
    <row r="633" spans="1:6" s="11" customFormat="1" x14ac:dyDescent="0.25">
      <c r="A633" s="12"/>
      <c r="B633" s="13"/>
      <c r="C633" s="13"/>
      <c r="D633" s="14"/>
      <c r="E633" s="14"/>
      <c r="F633" s="14"/>
    </row>
    <row r="634" spans="1:6" s="11" customFormat="1" x14ac:dyDescent="0.25">
      <c r="A634" s="12"/>
      <c r="B634" s="13"/>
      <c r="C634" s="13"/>
      <c r="D634" s="14"/>
      <c r="E634" s="14"/>
      <c r="F634" s="14"/>
    </row>
    <row r="635" spans="1:6" s="11" customFormat="1" x14ac:dyDescent="0.25">
      <c r="A635" s="12"/>
      <c r="B635" s="13"/>
      <c r="C635" s="13"/>
      <c r="D635" s="14"/>
      <c r="E635" s="14"/>
      <c r="F635" s="14"/>
    </row>
    <row r="636" spans="1:6" s="11" customFormat="1" x14ac:dyDescent="0.25">
      <c r="A636" s="12"/>
      <c r="B636" s="13"/>
      <c r="C636" s="13"/>
      <c r="D636" s="14"/>
      <c r="E636" s="14"/>
      <c r="F636" s="14"/>
    </row>
    <row r="637" spans="1:6" s="11" customFormat="1" x14ac:dyDescent="0.25">
      <c r="A637" s="12"/>
      <c r="B637" s="13"/>
      <c r="C637" s="13"/>
      <c r="D637" s="14"/>
      <c r="E637" s="14"/>
      <c r="F637" s="14"/>
    </row>
    <row r="638" spans="1:6" s="11" customFormat="1" x14ac:dyDescent="0.25">
      <c r="A638" s="12"/>
      <c r="B638" s="13"/>
      <c r="C638" s="13"/>
      <c r="D638" s="14"/>
      <c r="E638" s="14"/>
      <c r="F638" s="14"/>
    </row>
    <row r="639" spans="1:6" s="11" customFormat="1" x14ac:dyDescent="0.25">
      <c r="A639" s="12"/>
      <c r="B639" s="13"/>
      <c r="C639" s="13"/>
      <c r="D639" s="14"/>
      <c r="E639" s="14"/>
      <c r="F639" s="14"/>
    </row>
    <row r="640" spans="1:6" s="11" customFormat="1" x14ac:dyDescent="0.25">
      <c r="A640" s="12"/>
      <c r="B640" s="13"/>
      <c r="C640" s="13"/>
      <c r="D640" s="14"/>
      <c r="E640" s="14"/>
      <c r="F640" s="14"/>
    </row>
    <row r="641" spans="1:6" s="11" customFormat="1" x14ac:dyDescent="0.25">
      <c r="A641" s="12"/>
      <c r="B641" s="13"/>
      <c r="C641" s="13"/>
      <c r="D641" s="14"/>
      <c r="E641" s="14"/>
      <c r="F641" s="14"/>
    </row>
    <row r="642" spans="1:6" s="11" customFormat="1" x14ac:dyDescent="0.25">
      <c r="A642" s="12"/>
      <c r="B642" s="13"/>
      <c r="C642" s="13"/>
      <c r="D642" s="14"/>
      <c r="E642" s="14"/>
      <c r="F642" s="14"/>
    </row>
    <row r="643" spans="1:6" s="11" customFormat="1" x14ac:dyDescent="0.25">
      <c r="A643" s="12"/>
      <c r="B643" s="13"/>
      <c r="C643" s="13"/>
      <c r="D643" s="14"/>
      <c r="E643" s="14"/>
      <c r="F643" s="14"/>
    </row>
    <row r="644" spans="1:6" s="11" customFormat="1" x14ac:dyDescent="0.25">
      <c r="A644" s="12"/>
      <c r="B644" s="13"/>
      <c r="C644" s="13"/>
      <c r="D644" s="14"/>
      <c r="E644" s="14"/>
      <c r="F644" s="14"/>
    </row>
    <row r="645" spans="1:6" s="11" customFormat="1" x14ac:dyDescent="0.25">
      <c r="A645" s="12"/>
      <c r="B645" s="13"/>
      <c r="C645" s="13"/>
      <c r="D645" s="14"/>
      <c r="E645" s="14"/>
      <c r="F645" s="14"/>
    </row>
    <row r="646" spans="1:6" s="11" customFormat="1" x14ac:dyDescent="0.25">
      <c r="A646" s="12"/>
      <c r="B646" s="13"/>
      <c r="C646" s="13"/>
      <c r="D646" s="14"/>
      <c r="E646" s="14"/>
      <c r="F646" s="14"/>
    </row>
    <row r="647" spans="1:6" s="11" customFormat="1" x14ac:dyDescent="0.25">
      <c r="A647" s="12"/>
      <c r="B647" s="13"/>
      <c r="C647" s="13"/>
      <c r="D647" s="14"/>
      <c r="E647" s="14"/>
      <c r="F647" s="14"/>
    </row>
    <row r="648" spans="1:6" s="11" customFormat="1" x14ac:dyDescent="0.25">
      <c r="A648" s="12"/>
      <c r="B648" s="13"/>
      <c r="C648" s="13"/>
      <c r="D648" s="14"/>
      <c r="E648" s="14"/>
      <c r="F648" s="14"/>
    </row>
    <row r="649" spans="1:6" s="11" customFormat="1" x14ac:dyDescent="0.25">
      <c r="A649" s="12"/>
      <c r="B649" s="13"/>
      <c r="C649" s="13"/>
      <c r="D649" s="14"/>
      <c r="E649" s="14"/>
      <c r="F649" s="14"/>
    </row>
    <row r="650" spans="1:6" s="11" customFormat="1" x14ac:dyDescent="0.25">
      <c r="A650" s="12"/>
      <c r="B650" s="13"/>
      <c r="C650" s="13"/>
      <c r="D650" s="14"/>
      <c r="E650" s="14"/>
      <c r="F650" s="14"/>
    </row>
    <row r="651" spans="1:6" s="11" customFormat="1" x14ac:dyDescent="0.25">
      <c r="A651" s="12"/>
      <c r="B651" s="13"/>
      <c r="C651" s="13"/>
      <c r="D651" s="14"/>
      <c r="E651" s="14"/>
      <c r="F651" s="14"/>
    </row>
    <row r="652" spans="1:6" s="11" customFormat="1" x14ac:dyDescent="0.25">
      <c r="A652" s="12"/>
      <c r="B652" s="13"/>
      <c r="C652" s="13"/>
      <c r="D652" s="14"/>
      <c r="E652" s="14"/>
      <c r="F652" s="14"/>
    </row>
    <row r="653" spans="1:6" s="11" customFormat="1" x14ac:dyDescent="0.25">
      <c r="A653" s="12"/>
      <c r="B653" s="13"/>
      <c r="C653" s="13"/>
      <c r="D653" s="14"/>
      <c r="E653" s="14"/>
      <c r="F653" s="14"/>
    </row>
    <row r="654" spans="1:6" s="11" customFormat="1" x14ac:dyDescent="0.25">
      <c r="A654" s="12"/>
      <c r="B654" s="13"/>
      <c r="C654" s="13"/>
      <c r="D654" s="14"/>
      <c r="E654" s="14"/>
      <c r="F654" s="14"/>
    </row>
    <row r="655" spans="1:6" s="11" customFormat="1" x14ac:dyDescent="0.25">
      <c r="A655" s="12"/>
      <c r="B655" s="13"/>
      <c r="C655" s="13"/>
      <c r="D655" s="14"/>
      <c r="E655" s="14"/>
      <c r="F655" s="14"/>
    </row>
    <row r="656" spans="1:6" s="11" customFormat="1" x14ac:dyDescent="0.25">
      <c r="A656" s="12"/>
      <c r="B656" s="13"/>
      <c r="C656" s="13"/>
      <c r="D656" s="14"/>
      <c r="E656" s="14"/>
      <c r="F656" s="14"/>
    </row>
    <row r="657" spans="1:6" s="11" customFormat="1" x14ac:dyDescent="0.25">
      <c r="A657" s="12"/>
      <c r="B657" s="13"/>
      <c r="C657" s="13"/>
      <c r="D657" s="14"/>
      <c r="E657" s="14"/>
      <c r="F657" s="14"/>
    </row>
    <row r="658" spans="1:6" s="11" customFormat="1" x14ac:dyDescent="0.25">
      <c r="A658" s="12"/>
      <c r="B658" s="13"/>
      <c r="C658" s="13"/>
      <c r="D658" s="14"/>
      <c r="E658" s="14"/>
      <c r="F658" s="14"/>
    </row>
    <row r="659" spans="1:6" s="11" customFormat="1" x14ac:dyDescent="0.25">
      <c r="A659" s="12"/>
      <c r="B659" s="13"/>
      <c r="C659" s="13"/>
      <c r="D659" s="14"/>
      <c r="E659" s="14"/>
      <c r="F659" s="14"/>
    </row>
    <row r="660" spans="1:6" s="11" customFormat="1" x14ac:dyDescent="0.25">
      <c r="A660" s="12"/>
      <c r="B660" s="13"/>
      <c r="C660" s="13"/>
      <c r="D660" s="14"/>
      <c r="E660" s="14"/>
      <c r="F660" s="14"/>
    </row>
    <row r="661" spans="1:6" s="11" customFormat="1" x14ac:dyDescent="0.25">
      <c r="A661" s="12"/>
      <c r="B661" s="13"/>
      <c r="C661" s="13"/>
      <c r="D661" s="14"/>
      <c r="E661" s="14"/>
      <c r="F661" s="14"/>
    </row>
    <row r="662" spans="1:6" s="11" customFormat="1" x14ac:dyDescent="0.25">
      <c r="A662" s="12"/>
      <c r="B662" s="13"/>
      <c r="C662" s="13"/>
      <c r="D662" s="14"/>
      <c r="E662" s="14"/>
      <c r="F662" s="14"/>
    </row>
    <row r="663" spans="1:6" s="11" customFormat="1" x14ac:dyDescent="0.25">
      <c r="A663" s="12"/>
      <c r="B663" s="13"/>
      <c r="C663" s="13"/>
      <c r="D663" s="14"/>
      <c r="E663" s="14"/>
      <c r="F663" s="14"/>
    </row>
    <row r="664" spans="1:6" s="11" customFormat="1" x14ac:dyDescent="0.25">
      <c r="A664" s="12"/>
      <c r="B664" s="13"/>
      <c r="C664" s="13"/>
      <c r="D664" s="14"/>
      <c r="E664" s="14"/>
      <c r="F664" s="14"/>
    </row>
    <row r="665" spans="1:6" s="11" customFormat="1" x14ac:dyDescent="0.25">
      <c r="A665" s="12"/>
      <c r="B665" s="13"/>
      <c r="C665" s="13"/>
      <c r="D665" s="14"/>
      <c r="E665" s="14"/>
      <c r="F665" s="14"/>
    </row>
    <row r="666" spans="1:6" s="11" customFormat="1" x14ac:dyDescent="0.25">
      <c r="A666" s="12"/>
      <c r="B666" s="13"/>
      <c r="C666" s="13"/>
      <c r="D666" s="14"/>
      <c r="E666" s="14"/>
      <c r="F666" s="14"/>
    </row>
    <row r="667" spans="1:6" s="11" customFormat="1" x14ac:dyDescent="0.25">
      <c r="A667" s="12"/>
      <c r="B667" s="13"/>
      <c r="C667" s="13"/>
      <c r="D667" s="14"/>
      <c r="E667" s="14"/>
      <c r="F667" s="14"/>
    </row>
    <row r="668" spans="1:6" s="11" customFormat="1" x14ac:dyDescent="0.25">
      <c r="A668" s="12"/>
      <c r="B668" s="13"/>
      <c r="C668" s="13"/>
      <c r="D668" s="14"/>
      <c r="E668" s="14"/>
      <c r="F668" s="14"/>
    </row>
    <row r="669" spans="1:6" s="11" customFormat="1" x14ac:dyDescent="0.25">
      <c r="A669" s="12"/>
      <c r="B669" s="13"/>
      <c r="C669" s="13"/>
      <c r="D669" s="14"/>
      <c r="E669" s="14"/>
      <c r="F669" s="14"/>
    </row>
    <row r="670" spans="1:6" s="11" customFormat="1" x14ac:dyDescent="0.25">
      <c r="A670" s="12"/>
      <c r="B670" s="13"/>
      <c r="C670" s="13"/>
      <c r="D670" s="14"/>
      <c r="E670" s="14"/>
      <c r="F670" s="14"/>
    </row>
    <row r="671" spans="1:6" s="11" customFormat="1" x14ac:dyDescent="0.25">
      <c r="A671" s="12"/>
      <c r="B671" s="13"/>
      <c r="C671" s="13"/>
      <c r="D671" s="14"/>
      <c r="E671" s="14"/>
      <c r="F671" s="14"/>
    </row>
    <row r="672" spans="1:6" s="11" customFormat="1" x14ac:dyDescent="0.25">
      <c r="A672" s="12"/>
      <c r="B672" s="13"/>
      <c r="C672" s="13"/>
      <c r="D672" s="14"/>
      <c r="E672" s="14"/>
      <c r="F672" s="14"/>
    </row>
    <row r="673" spans="1:6" s="11" customFormat="1" x14ac:dyDescent="0.25">
      <c r="A673" s="12"/>
      <c r="B673" s="13"/>
      <c r="C673" s="13"/>
      <c r="D673" s="14"/>
      <c r="E673" s="14"/>
      <c r="F673" s="14"/>
    </row>
    <row r="674" spans="1:6" s="11" customFormat="1" x14ac:dyDescent="0.25">
      <c r="A674" s="12"/>
      <c r="B674" s="13"/>
      <c r="C674" s="13"/>
      <c r="D674" s="14"/>
      <c r="E674" s="14"/>
      <c r="F674" s="14"/>
    </row>
    <row r="675" spans="1:6" s="11" customFormat="1" x14ac:dyDescent="0.25">
      <c r="A675" s="12"/>
      <c r="B675" s="13"/>
      <c r="C675" s="13"/>
      <c r="D675" s="14"/>
      <c r="E675" s="14"/>
      <c r="F675" s="14"/>
    </row>
    <row r="676" spans="1:6" s="11" customFormat="1" x14ac:dyDescent="0.25">
      <c r="A676" s="12"/>
      <c r="B676" s="13"/>
      <c r="C676" s="13"/>
      <c r="D676" s="14"/>
      <c r="E676" s="14"/>
      <c r="F676" s="14"/>
    </row>
    <row r="677" spans="1:6" s="11" customFormat="1" x14ac:dyDescent="0.25">
      <c r="A677" s="12"/>
      <c r="B677" s="13"/>
      <c r="C677" s="13"/>
      <c r="D677" s="14"/>
      <c r="E677" s="14"/>
      <c r="F677" s="14"/>
    </row>
    <row r="678" spans="1:6" s="11" customFormat="1" x14ac:dyDescent="0.25">
      <c r="A678" s="12"/>
      <c r="B678" s="13"/>
      <c r="C678" s="13"/>
      <c r="D678" s="14"/>
      <c r="E678" s="14"/>
      <c r="F678" s="14"/>
    </row>
    <row r="679" spans="1:6" s="11" customFormat="1" x14ac:dyDescent="0.25">
      <c r="A679" s="12"/>
      <c r="B679" s="13"/>
      <c r="C679" s="13"/>
      <c r="D679" s="14"/>
      <c r="E679" s="14"/>
      <c r="F679" s="14"/>
    </row>
    <row r="680" spans="1:6" s="11" customFormat="1" x14ac:dyDescent="0.25">
      <c r="A680" s="12"/>
      <c r="B680" s="13"/>
      <c r="C680" s="13"/>
      <c r="D680" s="14"/>
      <c r="E680" s="14"/>
      <c r="F680" s="14"/>
    </row>
    <row r="681" spans="1:6" s="11" customFormat="1" x14ac:dyDescent="0.25">
      <c r="A681" s="12"/>
      <c r="B681" s="13"/>
      <c r="C681" s="13"/>
      <c r="D681" s="14"/>
      <c r="E681" s="14"/>
      <c r="F681" s="14"/>
    </row>
    <row r="682" spans="1:6" s="11" customFormat="1" x14ac:dyDescent="0.25">
      <c r="A682" s="12"/>
      <c r="B682" s="13"/>
      <c r="C682" s="13"/>
      <c r="D682" s="14"/>
      <c r="E682" s="14"/>
      <c r="F682" s="14"/>
    </row>
    <row r="683" spans="1:6" s="11" customFormat="1" x14ac:dyDescent="0.25">
      <c r="A683" s="12"/>
      <c r="B683" s="13"/>
      <c r="C683" s="13"/>
      <c r="D683" s="14"/>
      <c r="E683" s="14"/>
      <c r="F683" s="14"/>
    </row>
    <row r="684" spans="1:6" s="11" customFormat="1" x14ac:dyDescent="0.25">
      <c r="A684" s="12"/>
      <c r="B684" s="13"/>
      <c r="C684" s="13"/>
      <c r="D684" s="14"/>
      <c r="E684" s="14"/>
      <c r="F684" s="14"/>
    </row>
    <row r="685" spans="1:6" s="11" customFormat="1" x14ac:dyDescent="0.25">
      <c r="A685" s="12"/>
      <c r="B685" s="13"/>
      <c r="C685" s="13"/>
      <c r="D685" s="14"/>
      <c r="E685" s="14"/>
      <c r="F685" s="14"/>
    </row>
    <row r="686" spans="1:6" s="11" customFormat="1" x14ac:dyDescent="0.25">
      <c r="A686" s="12"/>
      <c r="B686" s="13"/>
      <c r="C686" s="13"/>
      <c r="D686" s="14"/>
      <c r="E686" s="14"/>
      <c r="F686" s="14"/>
    </row>
    <row r="687" spans="1:6" s="11" customFormat="1" x14ac:dyDescent="0.25">
      <c r="A687" s="12"/>
      <c r="B687" s="13"/>
      <c r="C687" s="13"/>
      <c r="D687" s="14"/>
      <c r="E687" s="14"/>
      <c r="F687" s="14"/>
    </row>
    <row r="688" spans="1:6" s="11" customFormat="1" x14ac:dyDescent="0.25">
      <c r="A688" s="12"/>
      <c r="B688" s="13"/>
      <c r="C688" s="13"/>
      <c r="D688" s="14"/>
      <c r="E688" s="14"/>
      <c r="F688" s="14"/>
    </row>
    <row r="689" spans="1:6" s="11" customFormat="1" x14ac:dyDescent="0.25">
      <c r="A689" s="12"/>
      <c r="B689" s="13"/>
      <c r="C689" s="13"/>
      <c r="D689" s="14"/>
      <c r="E689" s="14"/>
      <c r="F689" s="14"/>
    </row>
    <row r="690" spans="1:6" s="11" customFormat="1" x14ac:dyDescent="0.25">
      <c r="A690" s="12"/>
      <c r="B690" s="13"/>
      <c r="C690" s="13"/>
      <c r="D690" s="14"/>
      <c r="E690" s="14"/>
      <c r="F690" s="14"/>
    </row>
    <row r="691" spans="1:6" s="11" customFormat="1" x14ac:dyDescent="0.25">
      <c r="A691" s="12"/>
      <c r="B691" s="13"/>
      <c r="C691" s="13"/>
      <c r="D691" s="14"/>
      <c r="E691" s="14"/>
      <c r="F691" s="14"/>
    </row>
    <row r="692" spans="1:6" s="11" customFormat="1" x14ac:dyDescent="0.25">
      <c r="A692" s="12"/>
      <c r="B692" s="13"/>
      <c r="C692" s="13"/>
      <c r="D692" s="14"/>
      <c r="E692" s="14"/>
      <c r="F692" s="14"/>
    </row>
    <row r="693" spans="1:6" s="11" customFormat="1" x14ac:dyDescent="0.25">
      <c r="A693" s="12"/>
      <c r="B693" s="13"/>
      <c r="C693" s="13"/>
      <c r="D693" s="14"/>
      <c r="E693" s="14"/>
      <c r="F693" s="14"/>
    </row>
    <row r="694" spans="1:6" s="11" customFormat="1" x14ac:dyDescent="0.25">
      <c r="A694" s="12"/>
      <c r="B694" s="13"/>
      <c r="C694" s="13"/>
      <c r="D694" s="14"/>
      <c r="E694" s="14"/>
      <c r="F694" s="14"/>
    </row>
    <row r="695" spans="1:6" s="11" customFormat="1" x14ac:dyDescent="0.25">
      <c r="A695" s="12"/>
      <c r="B695" s="13"/>
      <c r="C695" s="13"/>
      <c r="D695" s="14"/>
      <c r="E695" s="14"/>
      <c r="F695" s="14"/>
    </row>
    <row r="696" spans="1:6" s="11" customFormat="1" x14ac:dyDescent="0.25">
      <c r="A696" s="12"/>
      <c r="B696" s="13"/>
      <c r="C696" s="13"/>
      <c r="D696" s="14"/>
      <c r="E696" s="14"/>
      <c r="F696" s="14"/>
    </row>
    <row r="697" spans="1:6" s="11" customFormat="1" x14ac:dyDescent="0.25">
      <c r="A697" s="12"/>
      <c r="B697" s="13"/>
      <c r="C697" s="13"/>
      <c r="D697" s="14"/>
      <c r="E697" s="14"/>
      <c r="F697" s="14"/>
    </row>
    <row r="698" spans="1:6" s="11" customFormat="1" x14ac:dyDescent="0.25">
      <c r="A698" s="12"/>
      <c r="B698" s="13"/>
      <c r="C698" s="13"/>
      <c r="D698" s="14"/>
      <c r="E698" s="14"/>
      <c r="F698" s="14"/>
    </row>
    <row r="699" spans="1:6" s="11" customFormat="1" x14ac:dyDescent="0.25">
      <c r="A699" s="12"/>
      <c r="B699" s="13"/>
      <c r="C699" s="13"/>
      <c r="D699" s="14"/>
      <c r="E699" s="14"/>
      <c r="F699" s="14"/>
    </row>
    <row r="700" spans="1:6" s="11" customFormat="1" x14ac:dyDescent="0.25">
      <c r="A700" s="12"/>
      <c r="B700" s="13"/>
      <c r="C700" s="13"/>
      <c r="D700" s="14"/>
      <c r="E700" s="14"/>
      <c r="F700" s="14"/>
    </row>
    <row r="701" spans="1:6" s="11" customFormat="1" x14ac:dyDescent="0.25">
      <c r="A701" s="12"/>
      <c r="B701" s="13"/>
      <c r="C701" s="13"/>
      <c r="D701" s="14"/>
      <c r="E701" s="14"/>
      <c r="F701" s="14"/>
    </row>
    <row r="702" spans="1:6" s="11" customFormat="1" x14ac:dyDescent="0.25">
      <c r="A702" s="12"/>
      <c r="B702" s="13"/>
      <c r="C702" s="13"/>
      <c r="D702" s="14"/>
      <c r="E702" s="14"/>
      <c r="F702" s="14"/>
    </row>
    <row r="703" spans="1:6" s="11" customFormat="1" x14ac:dyDescent="0.25">
      <c r="A703" s="12"/>
      <c r="B703" s="13"/>
      <c r="C703" s="13"/>
      <c r="D703" s="14"/>
      <c r="E703" s="14"/>
      <c r="F703" s="14"/>
    </row>
    <row r="704" spans="1:6" s="11" customFormat="1" x14ac:dyDescent="0.25">
      <c r="A704" s="12"/>
      <c r="B704" s="13"/>
      <c r="C704" s="13"/>
      <c r="D704" s="14"/>
      <c r="E704" s="14"/>
      <c r="F704" s="14"/>
    </row>
    <row r="705" spans="1:6" s="11" customFormat="1" x14ac:dyDescent="0.25">
      <c r="A705" s="12"/>
      <c r="B705" s="13"/>
      <c r="C705" s="13"/>
      <c r="D705" s="14"/>
      <c r="E705" s="14"/>
      <c r="F705" s="14"/>
    </row>
    <row r="706" spans="1:6" s="11" customFormat="1" x14ac:dyDescent="0.25">
      <c r="A706" s="12"/>
      <c r="B706" s="13"/>
      <c r="C706" s="13"/>
      <c r="D706" s="14"/>
      <c r="E706" s="14"/>
      <c r="F706" s="14"/>
    </row>
    <row r="707" spans="1:6" s="11" customFormat="1" x14ac:dyDescent="0.25">
      <c r="A707" s="12"/>
      <c r="B707" s="13"/>
      <c r="C707" s="13"/>
      <c r="D707" s="14"/>
      <c r="E707" s="14"/>
      <c r="F707" s="14"/>
    </row>
    <row r="708" spans="1:6" s="11" customFormat="1" x14ac:dyDescent="0.25">
      <c r="A708" s="12"/>
      <c r="B708" s="13"/>
      <c r="C708" s="13"/>
      <c r="D708" s="14"/>
      <c r="E708" s="14"/>
      <c r="F708" s="14"/>
    </row>
    <row r="709" spans="1:6" s="11" customFormat="1" x14ac:dyDescent="0.25">
      <c r="A709" s="12"/>
      <c r="B709" s="13"/>
      <c r="C709" s="13"/>
      <c r="D709" s="14"/>
      <c r="E709" s="14"/>
      <c r="F709" s="14"/>
    </row>
    <row r="710" spans="1:6" s="11" customFormat="1" x14ac:dyDescent="0.25">
      <c r="A710" s="12"/>
      <c r="B710" s="13"/>
      <c r="C710" s="13"/>
      <c r="D710" s="14"/>
      <c r="E710" s="14"/>
      <c r="F710" s="14"/>
    </row>
    <row r="711" spans="1:6" s="11" customFormat="1" x14ac:dyDescent="0.25">
      <c r="A711" s="12"/>
      <c r="B711" s="13"/>
      <c r="C711" s="13"/>
      <c r="D711" s="14"/>
      <c r="E711" s="14"/>
      <c r="F711" s="14"/>
    </row>
    <row r="712" spans="1:6" s="11" customFormat="1" x14ac:dyDescent="0.25">
      <c r="A712" s="12"/>
      <c r="B712" s="13"/>
      <c r="C712" s="13"/>
      <c r="D712" s="14"/>
      <c r="E712" s="14"/>
      <c r="F712" s="14"/>
    </row>
    <row r="713" spans="1:6" s="11" customFormat="1" x14ac:dyDescent="0.25">
      <c r="A713" s="12"/>
      <c r="B713" s="13"/>
      <c r="C713" s="13"/>
      <c r="D713" s="14"/>
      <c r="E713" s="14"/>
      <c r="F713" s="14"/>
    </row>
    <row r="714" spans="1:6" s="11" customFormat="1" x14ac:dyDescent="0.25">
      <c r="A714" s="12"/>
      <c r="B714" s="13"/>
      <c r="C714" s="13"/>
      <c r="D714" s="14"/>
      <c r="E714" s="14"/>
      <c r="F714" s="14"/>
    </row>
    <row r="715" spans="1:6" s="11" customFormat="1" x14ac:dyDescent="0.25">
      <c r="A715" s="12"/>
      <c r="B715" s="13"/>
      <c r="C715" s="13"/>
      <c r="D715" s="14"/>
      <c r="E715" s="14"/>
      <c r="F715" s="14"/>
    </row>
    <row r="716" spans="1:6" s="11" customFormat="1" x14ac:dyDescent="0.25">
      <c r="A716" s="12"/>
      <c r="B716" s="13"/>
      <c r="C716" s="13"/>
      <c r="D716" s="14"/>
      <c r="E716" s="14"/>
      <c r="F716" s="14"/>
    </row>
    <row r="717" spans="1:6" s="11" customFormat="1" x14ac:dyDescent="0.25">
      <c r="A717" s="12"/>
      <c r="B717" s="13"/>
      <c r="C717" s="13"/>
      <c r="D717" s="14"/>
      <c r="E717" s="14"/>
      <c r="F717" s="14"/>
    </row>
    <row r="718" spans="1:6" s="11" customFormat="1" x14ac:dyDescent="0.25">
      <c r="A718" s="12"/>
      <c r="B718" s="13"/>
      <c r="C718" s="13"/>
      <c r="D718" s="14"/>
      <c r="E718" s="14"/>
      <c r="F718" s="14"/>
    </row>
    <row r="719" spans="1:6" s="11" customFormat="1" x14ac:dyDescent="0.25">
      <c r="A719" s="12"/>
      <c r="B719" s="13"/>
      <c r="C719" s="13"/>
      <c r="D719" s="14"/>
      <c r="E719" s="14"/>
      <c r="F719" s="14"/>
    </row>
    <row r="720" spans="1:6" s="11" customFormat="1" x14ac:dyDescent="0.25">
      <c r="A720" s="12"/>
      <c r="B720" s="13"/>
      <c r="C720" s="13"/>
      <c r="D720" s="14"/>
      <c r="E720" s="14"/>
      <c r="F720" s="14"/>
    </row>
    <row r="721" spans="1:6" s="11" customFormat="1" x14ac:dyDescent="0.25">
      <c r="A721" s="12"/>
      <c r="B721" s="13"/>
      <c r="C721" s="13"/>
      <c r="D721" s="14"/>
      <c r="E721" s="14"/>
      <c r="F721" s="14"/>
    </row>
    <row r="722" spans="1:6" s="11" customFormat="1" x14ac:dyDescent="0.25">
      <c r="A722" s="12"/>
      <c r="B722" s="13"/>
      <c r="C722" s="13"/>
      <c r="D722" s="14"/>
      <c r="E722" s="14"/>
      <c r="F722" s="14"/>
    </row>
    <row r="723" spans="1:6" s="11" customFormat="1" x14ac:dyDescent="0.25">
      <c r="A723" s="12"/>
      <c r="B723" s="13"/>
      <c r="C723" s="13"/>
      <c r="D723" s="14"/>
      <c r="E723" s="14"/>
      <c r="F723" s="14"/>
    </row>
    <row r="724" spans="1:6" s="11" customFormat="1" x14ac:dyDescent="0.25">
      <c r="A724" s="12"/>
      <c r="B724" s="13"/>
      <c r="C724" s="13"/>
      <c r="D724" s="14"/>
      <c r="E724" s="14"/>
      <c r="F724" s="14"/>
    </row>
    <row r="725" spans="1:6" s="11" customFormat="1" x14ac:dyDescent="0.25">
      <c r="A725" s="12"/>
      <c r="B725" s="13"/>
      <c r="C725" s="13"/>
      <c r="D725" s="14"/>
      <c r="E725" s="14"/>
      <c r="F725" s="14"/>
    </row>
    <row r="726" spans="1:6" s="11" customFormat="1" x14ac:dyDescent="0.25">
      <c r="A726" s="12"/>
      <c r="B726" s="13"/>
      <c r="C726" s="13"/>
      <c r="D726" s="14"/>
      <c r="E726" s="14"/>
      <c r="F726" s="14"/>
    </row>
    <row r="727" spans="1:6" s="11" customFormat="1" x14ac:dyDescent="0.25">
      <c r="A727" s="12"/>
      <c r="B727" s="13"/>
      <c r="C727" s="13"/>
      <c r="D727" s="14"/>
      <c r="E727" s="14"/>
      <c r="F727" s="14"/>
    </row>
    <row r="728" spans="1:6" s="11" customFormat="1" x14ac:dyDescent="0.25">
      <c r="A728" s="12"/>
      <c r="B728" s="13"/>
      <c r="C728" s="13"/>
      <c r="D728" s="14"/>
      <c r="E728" s="14"/>
      <c r="F728" s="14"/>
    </row>
    <row r="729" spans="1:6" s="11" customFormat="1" x14ac:dyDescent="0.25">
      <c r="A729" s="12"/>
      <c r="B729" s="13"/>
      <c r="C729" s="13"/>
      <c r="D729" s="14"/>
      <c r="E729" s="14"/>
      <c r="F729" s="14"/>
    </row>
    <row r="730" spans="1:6" s="11" customFormat="1" x14ac:dyDescent="0.25">
      <c r="A730" s="12"/>
      <c r="B730" s="13"/>
      <c r="C730" s="13"/>
      <c r="D730" s="14"/>
      <c r="E730" s="14"/>
      <c r="F730" s="14"/>
    </row>
    <row r="731" spans="1:6" s="11" customFormat="1" x14ac:dyDescent="0.25">
      <c r="A731" s="12"/>
      <c r="B731" s="13"/>
      <c r="C731" s="13"/>
      <c r="D731" s="14"/>
      <c r="E731" s="14"/>
      <c r="F731" s="14"/>
    </row>
    <row r="732" spans="1:6" s="11" customFormat="1" x14ac:dyDescent="0.25">
      <c r="A732" s="12"/>
      <c r="B732" s="13"/>
      <c r="C732" s="13"/>
      <c r="D732" s="14"/>
      <c r="E732" s="14"/>
      <c r="F732" s="14"/>
    </row>
    <row r="733" spans="1:6" s="11" customFormat="1" x14ac:dyDescent="0.25">
      <c r="A733" s="12"/>
      <c r="B733" s="13"/>
      <c r="C733" s="13"/>
      <c r="D733" s="14"/>
      <c r="E733" s="14"/>
      <c r="F733" s="14"/>
    </row>
    <row r="734" spans="1:6" s="11" customFormat="1" x14ac:dyDescent="0.25">
      <c r="A734" s="12"/>
      <c r="B734" s="13"/>
      <c r="C734" s="13"/>
      <c r="D734" s="14"/>
      <c r="E734" s="14"/>
      <c r="F734" s="14"/>
    </row>
    <row r="735" spans="1:6" s="11" customFormat="1" x14ac:dyDescent="0.25">
      <c r="A735" s="12"/>
      <c r="B735" s="13"/>
      <c r="C735" s="13"/>
      <c r="D735" s="14"/>
      <c r="E735" s="14"/>
      <c r="F735" s="14"/>
    </row>
    <row r="736" spans="1:6" s="11" customFormat="1" x14ac:dyDescent="0.25">
      <c r="A736" s="12"/>
      <c r="B736" s="13"/>
      <c r="C736" s="13"/>
      <c r="D736" s="14"/>
      <c r="E736" s="14"/>
      <c r="F736" s="14"/>
    </row>
    <row r="737" spans="1:6" s="11" customFormat="1" x14ac:dyDescent="0.25">
      <c r="A737" s="12"/>
      <c r="B737" s="13"/>
      <c r="C737" s="13"/>
      <c r="D737" s="14"/>
      <c r="E737" s="14"/>
      <c r="F737" s="14"/>
    </row>
    <row r="738" spans="1:6" s="11" customFormat="1" x14ac:dyDescent="0.25">
      <c r="A738" s="12"/>
      <c r="B738" s="13"/>
      <c r="C738" s="13"/>
      <c r="D738" s="14"/>
      <c r="E738" s="14"/>
      <c r="F738" s="14"/>
    </row>
    <row r="739" spans="1:6" s="11" customFormat="1" x14ac:dyDescent="0.25">
      <c r="A739" s="12"/>
      <c r="B739" s="13"/>
      <c r="C739" s="13"/>
      <c r="D739" s="14"/>
      <c r="E739" s="14"/>
      <c r="F739" s="14"/>
    </row>
    <row r="740" spans="1:6" s="11" customFormat="1" x14ac:dyDescent="0.25">
      <c r="A740" s="12"/>
      <c r="B740" s="13"/>
      <c r="C740" s="13"/>
      <c r="D740" s="14"/>
      <c r="E740" s="14"/>
      <c r="F740" s="14"/>
    </row>
    <row r="741" spans="1:6" s="11" customFormat="1" x14ac:dyDescent="0.25">
      <c r="A741" s="12"/>
      <c r="B741" s="13"/>
      <c r="C741" s="13"/>
      <c r="D741" s="14"/>
      <c r="E741" s="14"/>
      <c r="F741" s="14"/>
    </row>
    <row r="742" spans="1:6" s="11" customFormat="1" x14ac:dyDescent="0.25">
      <c r="A742" s="12"/>
      <c r="B742" s="13"/>
      <c r="C742" s="13"/>
      <c r="D742" s="14"/>
      <c r="E742" s="14"/>
      <c r="F742" s="14"/>
    </row>
    <row r="743" spans="1:6" s="11" customFormat="1" x14ac:dyDescent="0.25">
      <c r="A743" s="12"/>
      <c r="B743" s="13"/>
      <c r="C743" s="13"/>
      <c r="D743" s="14"/>
      <c r="E743" s="14"/>
      <c r="F743" s="14"/>
    </row>
    <row r="744" spans="1:6" s="11" customFormat="1" x14ac:dyDescent="0.25">
      <c r="A744" s="12"/>
      <c r="B744" s="13"/>
      <c r="C744" s="13"/>
      <c r="D744" s="14"/>
      <c r="E744" s="14"/>
      <c r="F744" s="14"/>
    </row>
    <row r="745" spans="1:6" s="11" customFormat="1" x14ac:dyDescent="0.25">
      <c r="A745" s="12"/>
      <c r="B745" s="13"/>
      <c r="C745" s="13"/>
      <c r="D745" s="14"/>
      <c r="E745" s="14"/>
      <c r="F745" s="14"/>
    </row>
    <row r="746" spans="1:6" s="11" customFormat="1" x14ac:dyDescent="0.25">
      <c r="A746" s="12"/>
      <c r="B746" s="13"/>
      <c r="C746" s="13"/>
      <c r="D746" s="14"/>
      <c r="E746" s="14"/>
      <c r="F746" s="14"/>
    </row>
    <row r="747" spans="1:6" s="11" customFormat="1" x14ac:dyDescent="0.25">
      <c r="A747" s="12"/>
      <c r="B747" s="13"/>
      <c r="C747" s="13"/>
      <c r="D747" s="14"/>
      <c r="E747" s="14"/>
      <c r="F747" s="14"/>
    </row>
    <row r="748" spans="1:6" s="11" customFormat="1" x14ac:dyDescent="0.25">
      <c r="A748" s="12"/>
      <c r="B748" s="13"/>
      <c r="C748" s="13"/>
      <c r="D748" s="14"/>
      <c r="E748" s="14"/>
      <c r="F748" s="14"/>
    </row>
    <row r="749" spans="1:6" s="11" customFormat="1" x14ac:dyDescent="0.25">
      <c r="A749" s="12"/>
      <c r="B749" s="13"/>
      <c r="C749" s="13"/>
      <c r="D749" s="14"/>
      <c r="E749" s="14"/>
      <c r="F749" s="14"/>
    </row>
    <row r="750" spans="1:6" s="11" customFormat="1" x14ac:dyDescent="0.25">
      <c r="A750" s="12"/>
      <c r="B750" s="13"/>
      <c r="C750" s="13"/>
      <c r="D750" s="14"/>
      <c r="E750" s="14"/>
      <c r="F750" s="14"/>
    </row>
    <row r="751" spans="1:6" s="11" customFormat="1" x14ac:dyDescent="0.25">
      <c r="A751" s="12"/>
      <c r="B751" s="13"/>
      <c r="C751" s="13"/>
      <c r="D751" s="14"/>
      <c r="E751" s="14"/>
      <c r="F751" s="14"/>
    </row>
    <row r="752" spans="1:6" s="11" customFormat="1" x14ac:dyDescent="0.25">
      <c r="A752" s="12"/>
      <c r="B752" s="13"/>
      <c r="C752" s="13"/>
      <c r="D752" s="14"/>
      <c r="E752" s="14"/>
      <c r="F752" s="14"/>
    </row>
    <row r="753" spans="1:6" s="11" customFormat="1" x14ac:dyDescent="0.25">
      <c r="A753" s="12"/>
      <c r="B753" s="13"/>
      <c r="C753" s="13"/>
      <c r="D753" s="14"/>
      <c r="E753" s="14"/>
      <c r="F753" s="14"/>
    </row>
    <row r="754" spans="1:6" s="11" customFormat="1" x14ac:dyDescent="0.25">
      <c r="A754" s="12"/>
      <c r="B754" s="13"/>
      <c r="C754" s="13"/>
      <c r="D754" s="14"/>
      <c r="E754" s="14"/>
      <c r="F754" s="14"/>
    </row>
    <row r="755" spans="1:6" s="11" customFormat="1" x14ac:dyDescent="0.25">
      <c r="A755" s="12"/>
      <c r="B755" s="13"/>
      <c r="C755" s="13"/>
      <c r="D755" s="14"/>
      <c r="E755" s="14"/>
      <c r="F755" s="14"/>
    </row>
    <row r="756" spans="1:6" s="11" customFormat="1" x14ac:dyDescent="0.25">
      <c r="A756" s="12"/>
      <c r="B756" s="13"/>
      <c r="C756" s="13"/>
      <c r="D756" s="14"/>
      <c r="E756" s="14"/>
      <c r="F756" s="14"/>
    </row>
    <row r="757" spans="1:6" s="11" customFormat="1" x14ac:dyDescent="0.25">
      <c r="A757" s="12"/>
      <c r="B757" s="13"/>
      <c r="C757" s="13"/>
      <c r="D757" s="14"/>
      <c r="E757" s="14"/>
      <c r="F757" s="14"/>
    </row>
    <row r="758" spans="1:6" s="11" customFormat="1" x14ac:dyDescent="0.25">
      <c r="A758" s="12"/>
      <c r="B758" s="13"/>
      <c r="C758" s="13"/>
      <c r="D758" s="14"/>
      <c r="E758" s="14"/>
      <c r="F758" s="14"/>
    </row>
    <row r="759" spans="1:6" s="11" customFormat="1" x14ac:dyDescent="0.25">
      <c r="A759" s="12"/>
      <c r="B759" s="13"/>
      <c r="C759" s="13"/>
      <c r="D759" s="14"/>
      <c r="E759" s="14"/>
      <c r="F759" s="14"/>
    </row>
    <row r="760" spans="1:6" s="11" customFormat="1" x14ac:dyDescent="0.25">
      <c r="A760" s="12"/>
      <c r="B760" s="13"/>
      <c r="C760" s="13"/>
      <c r="D760" s="14"/>
      <c r="E760" s="14"/>
      <c r="F760" s="14"/>
    </row>
    <row r="761" spans="1:6" s="11" customFormat="1" x14ac:dyDescent="0.25">
      <c r="A761" s="12"/>
      <c r="B761" s="13"/>
      <c r="C761" s="13"/>
      <c r="D761" s="14"/>
      <c r="E761" s="14"/>
      <c r="F761" s="14"/>
    </row>
    <row r="762" spans="1:6" s="11" customFormat="1" x14ac:dyDescent="0.25">
      <c r="A762" s="12"/>
      <c r="B762" s="13"/>
      <c r="C762" s="13"/>
      <c r="D762" s="14"/>
      <c r="E762" s="14"/>
      <c r="F762" s="14"/>
    </row>
    <row r="763" spans="1:6" s="11" customFormat="1" x14ac:dyDescent="0.25">
      <c r="A763" s="12"/>
      <c r="B763" s="13"/>
      <c r="C763" s="13"/>
      <c r="D763" s="14"/>
      <c r="E763" s="14"/>
      <c r="F763" s="14"/>
    </row>
    <row r="764" spans="1:6" s="11" customFormat="1" x14ac:dyDescent="0.25">
      <c r="A764" s="12"/>
      <c r="B764" s="13"/>
      <c r="C764" s="13"/>
      <c r="D764" s="14"/>
      <c r="E764" s="14"/>
      <c r="F764" s="14"/>
    </row>
    <row r="765" spans="1:6" s="11" customFormat="1" x14ac:dyDescent="0.25">
      <c r="A765" s="12"/>
      <c r="B765" s="13"/>
      <c r="C765" s="13"/>
      <c r="D765" s="14"/>
      <c r="E765" s="14"/>
      <c r="F765" s="14"/>
    </row>
    <row r="766" spans="1:6" s="11" customFormat="1" x14ac:dyDescent="0.25">
      <c r="A766" s="12"/>
      <c r="B766" s="13"/>
      <c r="C766" s="13"/>
      <c r="D766" s="14"/>
      <c r="E766" s="14"/>
      <c r="F766" s="14"/>
    </row>
    <row r="767" spans="1:6" s="11" customFormat="1" x14ac:dyDescent="0.25">
      <c r="A767" s="12"/>
      <c r="B767" s="13"/>
      <c r="C767" s="13"/>
      <c r="D767" s="14"/>
      <c r="E767" s="14"/>
      <c r="F767" s="14"/>
    </row>
    <row r="768" spans="1:6" s="11" customFormat="1" x14ac:dyDescent="0.25">
      <c r="A768" s="12"/>
      <c r="B768" s="13"/>
      <c r="C768" s="13"/>
      <c r="D768" s="14"/>
      <c r="E768" s="14"/>
      <c r="F768" s="14"/>
    </row>
    <row r="769" spans="1:6" s="11" customFormat="1" x14ac:dyDescent="0.25">
      <c r="A769" s="12"/>
      <c r="B769" s="13"/>
      <c r="C769" s="13"/>
      <c r="D769" s="14"/>
      <c r="E769" s="14"/>
      <c r="F769" s="14"/>
    </row>
    <row r="770" spans="1:6" s="11" customFormat="1" x14ac:dyDescent="0.25">
      <c r="A770" s="12"/>
      <c r="B770" s="13"/>
      <c r="C770" s="13"/>
      <c r="D770" s="14"/>
      <c r="E770" s="14"/>
      <c r="F770" s="14"/>
    </row>
    <row r="771" spans="1:6" s="11" customFormat="1" x14ac:dyDescent="0.25">
      <c r="A771" s="12"/>
      <c r="B771" s="13"/>
      <c r="C771" s="13"/>
      <c r="D771" s="14"/>
      <c r="E771" s="14"/>
      <c r="F771" s="14"/>
    </row>
    <row r="772" spans="1:6" s="11" customFormat="1" x14ac:dyDescent="0.25">
      <c r="A772" s="12"/>
      <c r="B772" s="13"/>
      <c r="C772" s="13"/>
      <c r="D772" s="14"/>
      <c r="E772" s="14"/>
      <c r="F772" s="14"/>
    </row>
    <row r="773" spans="1:6" s="11" customFormat="1" x14ac:dyDescent="0.25">
      <c r="A773" s="12"/>
      <c r="B773" s="13"/>
      <c r="C773" s="13"/>
      <c r="D773" s="14"/>
      <c r="E773" s="14"/>
      <c r="F773" s="14"/>
    </row>
    <row r="774" spans="1:6" s="11" customFormat="1" x14ac:dyDescent="0.25">
      <c r="A774" s="12"/>
      <c r="B774" s="13"/>
      <c r="C774" s="13"/>
      <c r="D774" s="14"/>
      <c r="E774" s="14"/>
      <c r="F774" s="14"/>
    </row>
    <row r="775" spans="1:6" s="11" customFormat="1" x14ac:dyDescent="0.25">
      <c r="A775" s="12"/>
      <c r="B775" s="13"/>
      <c r="C775" s="13"/>
      <c r="D775" s="14"/>
      <c r="E775" s="14"/>
      <c r="F775" s="14"/>
    </row>
    <row r="776" spans="1:6" s="11" customFormat="1" x14ac:dyDescent="0.25">
      <c r="A776" s="12"/>
      <c r="B776" s="13"/>
      <c r="C776" s="13"/>
      <c r="D776" s="14"/>
      <c r="E776" s="14"/>
      <c r="F776" s="14"/>
    </row>
    <row r="777" spans="1:6" s="11" customFormat="1" x14ac:dyDescent="0.25">
      <c r="A777" s="12"/>
      <c r="B777" s="13"/>
      <c r="C777" s="13"/>
      <c r="D777" s="14"/>
      <c r="E777" s="14"/>
      <c r="F777" s="14"/>
    </row>
    <row r="778" spans="1:6" s="11" customFormat="1" x14ac:dyDescent="0.25">
      <c r="A778" s="12"/>
      <c r="B778" s="13"/>
      <c r="C778" s="13"/>
      <c r="D778" s="14"/>
      <c r="E778" s="14"/>
      <c r="F778" s="14"/>
    </row>
    <row r="779" spans="1:6" s="11" customFormat="1" x14ac:dyDescent="0.25">
      <c r="A779" s="12"/>
      <c r="B779" s="13"/>
      <c r="C779" s="13"/>
      <c r="D779" s="14"/>
      <c r="E779" s="14"/>
      <c r="F779" s="14"/>
    </row>
    <row r="780" spans="1:6" s="11" customFormat="1" x14ac:dyDescent="0.25">
      <c r="A780" s="12"/>
      <c r="B780" s="13"/>
      <c r="C780" s="13"/>
      <c r="D780" s="14"/>
      <c r="E780" s="14"/>
      <c r="F780" s="14"/>
    </row>
    <row r="781" spans="1:6" s="11" customFormat="1" x14ac:dyDescent="0.25">
      <c r="A781" s="12"/>
      <c r="B781" s="13"/>
      <c r="C781" s="13"/>
      <c r="D781" s="14"/>
      <c r="E781" s="14"/>
      <c r="F781" s="14"/>
    </row>
    <row r="782" spans="1:6" s="11" customFormat="1" x14ac:dyDescent="0.25">
      <c r="A782" s="12"/>
      <c r="B782" s="13"/>
      <c r="C782" s="13"/>
      <c r="D782" s="14"/>
      <c r="E782" s="14"/>
      <c r="F782" s="14"/>
    </row>
    <row r="783" spans="1:6" s="11" customFormat="1" x14ac:dyDescent="0.25">
      <c r="A783" s="12"/>
      <c r="B783" s="13"/>
      <c r="C783" s="13"/>
      <c r="D783" s="14"/>
      <c r="E783" s="14"/>
      <c r="F783" s="14"/>
    </row>
    <row r="784" spans="1:6" s="11" customFormat="1" x14ac:dyDescent="0.25">
      <c r="A784" s="12"/>
      <c r="B784" s="13"/>
      <c r="C784" s="13"/>
      <c r="D784" s="14"/>
      <c r="E784" s="14"/>
      <c r="F784" s="14"/>
    </row>
    <row r="785" spans="1:6" s="11" customFormat="1" x14ac:dyDescent="0.25">
      <c r="A785" s="12"/>
      <c r="B785" s="13"/>
      <c r="C785" s="13"/>
      <c r="D785" s="14"/>
      <c r="E785" s="14"/>
      <c r="F785" s="14"/>
    </row>
    <row r="786" spans="1:6" s="11" customFormat="1" x14ac:dyDescent="0.25">
      <c r="A786" s="12"/>
      <c r="B786" s="13"/>
      <c r="C786" s="13"/>
      <c r="D786" s="14"/>
      <c r="E786" s="14"/>
      <c r="F786" s="14"/>
    </row>
    <row r="787" spans="1:6" s="11" customFormat="1" x14ac:dyDescent="0.25">
      <c r="A787" s="12"/>
      <c r="B787" s="13"/>
      <c r="C787" s="13"/>
      <c r="D787" s="14"/>
      <c r="E787" s="14"/>
      <c r="F787" s="14"/>
    </row>
    <row r="788" spans="1:6" s="11" customFormat="1" x14ac:dyDescent="0.25">
      <c r="A788" s="12"/>
      <c r="B788" s="13"/>
      <c r="C788" s="13"/>
      <c r="D788" s="14"/>
      <c r="E788" s="14"/>
      <c r="F788" s="14"/>
    </row>
    <row r="789" spans="1:6" s="11" customFormat="1" x14ac:dyDescent="0.25">
      <c r="A789" s="12"/>
      <c r="B789" s="13"/>
      <c r="C789" s="13"/>
      <c r="D789" s="14"/>
      <c r="E789" s="14"/>
      <c r="F789" s="14"/>
    </row>
    <row r="790" spans="1:6" s="11" customFormat="1" x14ac:dyDescent="0.25">
      <c r="A790" s="12"/>
      <c r="B790" s="13"/>
      <c r="C790" s="13"/>
      <c r="D790" s="14"/>
      <c r="E790" s="14"/>
      <c r="F790" s="14"/>
    </row>
    <row r="791" spans="1:6" s="11" customFormat="1" x14ac:dyDescent="0.25">
      <c r="A791" s="12"/>
      <c r="B791" s="13"/>
      <c r="C791" s="13"/>
      <c r="D791" s="14"/>
      <c r="E791" s="14"/>
      <c r="F791" s="14"/>
    </row>
    <row r="792" spans="1:6" s="11" customFormat="1" x14ac:dyDescent="0.25">
      <c r="A792" s="12"/>
      <c r="B792" s="13"/>
      <c r="C792" s="13"/>
      <c r="D792" s="14"/>
      <c r="E792" s="14"/>
      <c r="F792" s="14"/>
    </row>
    <row r="793" spans="1:6" s="11" customFormat="1" x14ac:dyDescent="0.25">
      <c r="A793" s="12"/>
      <c r="B793" s="13"/>
      <c r="C793" s="13"/>
      <c r="D793" s="14"/>
      <c r="E793" s="14"/>
      <c r="F793" s="14"/>
    </row>
    <row r="794" spans="1:6" s="11" customFormat="1" x14ac:dyDescent="0.25">
      <c r="A794" s="12"/>
      <c r="B794" s="13"/>
      <c r="C794" s="13"/>
      <c r="D794" s="14"/>
      <c r="E794" s="14"/>
      <c r="F794" s="14"/>
    </row>
    <row r="795" spans="1:6" s="11" customFormat="1" x14ac:dyDescent="0.25">
      <c r="A795" s="12"/>
      <c r="B795" s="13"/>
      <c r="C795" s="13"/>
      <c r="D795" s="14"/>
      <c r="E795" s="14"/>
      <c r="F795" s="14"/>
    </row>
    <row r="796" spans="1:6" s="11" customFormat="1" x14ac:dyDescent="0.25">
      <c r="A796" s="12"/>
      <c r="B796" s="13"/>
      <c r="C796" s="13"/>
      <c r="D796" s="14"/>
      <c r="E796" s="14"/>
      <c r="F796" s="14"/>
    </row>
    <row r="797" spans="1:6" s="11" customFormat="1" x14ac:dyDescent="0.25">
      <c r="A797" s="12"/>
      <c r="B797" s="13"/>
      <c r="C797" s="13"/>
      <c r="D797" s="14"/>
      <c r="E797" s="14"/>
      <c r="F797" s="14"/>
    </row>
    <row r="798" spans="1:6" s="11" customFormat="1" x14ac:dyDescent="0.25">
      <c r="A798" s="12"/>
      <c r="B798" s="13"/>
      <c r="C798" s="13"/>
      <c r="D798" s="14"/>
      <c r="E798" s="14"/>
      <c r="F798" s="14"/>
    </row>
    <row r="799" spans="1:6" s="11" customFormat="1" x14ac:dyDescent="0.25">
      <c r="A799" s="12"/>
      <c r="B799" s="13"/>
      <c r="C799" s="13"/>
      <c r="D799" s="14"/>
      <c r="E799" s="14"/>
      <c r="F799" s="14"/>
    </row>
    <row r="800" spans="1:6" s="11" customFormat="1" x14ac:dyDescent="0.25">
      <c r="A800" s="12"/>
      <c r="B800" s="13"/>
      <c r="C800" s="13"/>
      <c r="D800" s="14"/>
      <c r="E800" s="14"/>
      <c r="F800" s="14"/>
    </row>
    <row r="801" spans="1:6" s="11" customFormat="1" x14ac:dyDescent="0.25">
      <c r="A801" s="12"/>
      <c r="B801" s="13"/>
      <c r="C801" s="13"/>
      <c r="D801" s="14"/>
      <c r="E801" s="14"/>
      <c r="F801" s="14"/>
    </row>
    <row r="802" spans="1:6" s="11" customFormat="1" x14ac:dyDescent="0.25">
      <c r="A802" s="12"/>
      <c r="B802" s="13"/>
      <c r="C802" s="13"/>
      <c r="D802" s="14"/>
      <c r="E802" s="14"/>
      <c r="F802" s="14"/>
    </row>
    <row r="803" spans="1:6" s="11" customFormat="1" x14ac:dyDescent="0.25">
      <c r="A803" s="12"/>
      <c r="B803" s="13"/>
      <c r="C803" s="13"/>
      <c r="D803" s="14"/>
      <c r="E803" s="14"/>
      <c r="F803" s="14"/>
    </row>
    <row r="804" spans="1:6" s="11" customFormat="1" x14ac:dyDescent="0.25">
      <c r="A804" s="12"/>
      <c r="B804" s="13"/>
      <c r="C804" s="13"/>
      <c r="D804" s="14"/>
      <c r="E804" s="14"/>
      <c r="F804" s="14"/>
    </row>
    <row r="805" spans="1:6" s="11" customFormat="1" x14ac:dyDescent="0.25">
      <c r="A805" s="12"/>
      <c r="B805" s="13"/>
      <c r="C805" s="13"/>
      <c r="D805" s="14"/>
      <c r="E805" s="14"/>
      <c r="F805" s="14"/>
    </row>
    <row r="806" spans="1:6" s="11" customFormat="1" x14ac:dyDescent="0.25">
      <c r="A806" s="12"/>
      <c r="B806" s="13"/>
      <c r="C806" s="13"/>
      <c r="D806" s="14"/>
      <c r="E806" s="14"/>
      <c r="F806" s="14"/>
    </row>
    <row r="807" spans="1:6" s="11" customFormat="1" x14ac:dyDescent="0.25">
      <c r="A807" s="12"/>
      <c r="B807" s="13"/>
      <c r="C807" s="13"/>
      <c r="D807" s="14"/>
      <c r="E807" s="14"/>
      <c r="F807" s="14"/>
    </row>
    <row r="808" spans="1:6" s="11" customFormat="1" x14ac:dyDescent="0.25">
      <c r="A808" s="12"/>
      <c r="B808" s="13"/>
      <c r="C808" s="13"/>
      <c r="D808" s="14"/>
      <c r="E808" s="14"/>
      <c r="F808" s="14"/>
    </row>
    <row r="809" spans="1:6" s="11" customFormat="1" x14ac:dyDescent="0.25">
      <c r="A809" s="12"/>
      <c r="B809" s="13"/>
      <c r="C809" s="13"/>
      <c r="D809" s="14"/>
      <c r="E809" s="14"/>
      <c r="F809" s="14"/>
    </row>
    <row r="810" spans="1:6" s="11" customFormat="1" x14ac:dyDescent="0.25">
      <c r="A810" s="12"/>
      <c r="B810" s="13"/>
      <c r="C810" s="13"/>
      <c r="D810" s="14"/>
      <c r="E810" s="14"/>
      <c r="F810" s="14"/>
    </row>
    <row r="811" spans="1:6" s="11" customFormat="1" x14ac:dyDescent="0.25">
      <c r="A811" s="12"/>
      <c r="B811" s="13"/>
      <c r="C811" s="13"/>
      <c r="D811" s="14"/>
      <c r="E811" s="14"/>
      <c r="F811" s="14"/>
    </row>
    <row r="812" spans="1:6" s="11" customFormat="1" x14ac:dyDescent="0.25">
      <c r="A812" s="12"/>
      <c r="B812" s="13"/>
      <c r="C812" s="13"/>
      <c r="D812" s="14"/>
      <c r="E812" s="14"/>
      <c r="F812" s="14"/>
    </row>
    <row r="813" spans="1:6" s="11" customFormat="1" x14ac:dyDescent="0.25">
      <c r="A813" s="12"/>
      <c r="B813" s="13"/>
      <c r="C813" s="13"/>
      <c r="D813" s="14"/>
      <c r="E813" s="14"/>
      <c r="F813" s="14"/>
    </row>
    <row r="814" spans="1:6" s="11" customFormat="1" x14ac:dyDescent="0.25">
      <c r="A814" s="12"/>
      <c r="B814" s="13"/>
      <c r="C814" s="13"/>
      <c r="D814" s="14"/>
      <c r="E814" s="14"/>
      <c r="F814" s="14"/>
    </row>
    <row r="815" spans="1:6" s="11" customFormat="1" x14ac:dyDescent="0.25">
      <c r="A815" s="12"/>
      <c r="B815" s="13"/>
      <c r="C815" s="13"/>
      <c r="D815" s="14"/>
      <c r="E815" s="14"/>
      <c r="F815" s="14"/>
    </row>
    <row r="816" spans="1:6" s="11" customFormat="1" x14ac:dyDescent="0.25">
      <c r="A816" s="12"/>
      <c r="B816" s="13"/>
      <c r="C816" s="13"/>
      <c r="D816" s="14"/>
      <c r="E816" s="14"/>
      <c r="F816" s="14"/>
    </row>
    <row r="817" spans="1:6" s="11" customFormat="1" x14ac:dyDescent="0.25">
      <c r="A817" s="12"/>
      <c r="B817" s="13"/>
      <c r="C817" s="13"/>
      <c r="D817" s="14"/>
      <c r="E817" s="14"/>
      <c r="F817" s="14"/>
    </row>
    <row r="818" spans="1:6" s="11" customFormat="1" x14ac:dyDescent="0.25">
      <c r="A818" s="12"/>
      <c r="B818" s="13"/>
      <c r="C818" s="13"/>
      <c r="D818" s="14"/>
      <c r="E818" s="14"/>
      <c r="F818" s="14"/>
    </row>
    <row r="819" spans="1:6" s="11" customFormat="1" x14ac:dyDescent="0.25">
      <c r="A819" s="12"/>
      <c r="B819" s="13"/>
      <c r="C819" s="13"/>
      <c r="D819" s="14"/>
      <c r="E819" s="14"/>
      <c r="F819" s="14"/>
    </row>
    <row r="820" spans="1:6" s="11" customFormat="1" x14ac:dyDescent="0.25">
      <c r="A820" s="12"/>
      <c r="B820" s="13"/>
      <c r="C820" s="13"/>
      <c r="D820" s="14"/>
      <c r="E820" s="14"/>
      <c r="F820" s="14"/>
    </row>
    <row r="821" spans="1:6" s="11" customFormat="1" x14ac:dyDescent="0.25">
      <c r="A821" s="12"/>
      <c r="B821" s="13"/>
      <c r="C821" s="13"/>
      <c r="D821" s="14"/>
      <c r="E821" s="14"/>
      <c r="F821" s="14"/>
    </row>
    <row r="822" spans="1:6" s="11" customFormat="1" x14ac:dyDescent="0.25">
      <c r="A822" s="12"/>
      <c r="B822" s="13"/>
      <c r="C822" s="13"/>
      <c r="D822" s="14"/>
      <c r="E822" s="14"/>
      <c r="F822" s="14"/>
    </row>
    <row r="823" spans="1:6" s="11" customFormat="1" x14ac:dyDescent="0.25">
      <c r="A823" s="12"/>
      <c r="B823" s="13"/>
      <c r="C823" s="13"/>
      <c r="D823" s="14"/>
      <c r="E823" s="14"/>
      <c r="F823" s="14"/>
    </row>
    <row r="824" spans="1:6" s="11" customFormat="1" x14ac:dyDescent="0.25">
      <c r="A824" s="12"/>
      <c r="B824" s="13"/>
      <c r="C824" s="13"/>
      <c r="D824" s="14"/>
      <c r="E824" s="14"/>
      <c r="F824" s="14"/>
    </row>
    <row r="825" spans="1:6" s="11" customFormat="1" x14ac:dyDescent="0.25">
      <c r="A825" s="12"/>
      <c r="B825" s="13"/>
      <c r="C825" s="13"/>
      <c r="D825" s="14"/>
      <c r="E825" s="14"/>
      <c r="F825" s="14"/>
    </row>
    <row r="826" spans="1:6" s="11" customFormat="1" x14ac:dyDescent="0.25">
      <c r="A826" s="12"/>
      <c r="B826" s="13"/>
      <c r="C826" s="13"/>
      <c r="D826" s="14"/>
      <c r="E826" s="14"/>
      <c r="F826" s="14"/>
    </row>
    <row r="827" spans="1:6" s="11" customFormat="1" x14ac:dyDescent="0.25">
      <c r="A827" s="12"/>
      <c r="B827" s="13"/>
      <c r="C827" s="13"/>
      <c r="D827" s="14"/>
      <c r="E827" s="14"/>
      <c r="F827" s="14"/>
    </row>
    <row r="828" spans="1:6" s="11" customFormat="1" x14ac:dyDescent="0.25">
      <c r="A828" s="12"/>
      <c r="B828" s="13"/>
      <c r="C828" s="13"/>
      <c r="D828" s="14"/>
      <c r="E828" s="14"/>
      <c r="F828" s="14"/>
    </row>
    <row r="829" spans="1:6" s="11" customFormat="1" x14ac:dyDescent="0.25">
      <c r="A829" s="12"/>
      <c r="B829" s="13"/>
      <c r="C829" s="13"/>
      <c r="D829" s="14"/>
      <c r="E829" s="14"/>
      <c r="F829" s="14"/>
    </row>
    <row r="830" spans="1:6" s="11" customFormat="1" x14ac:dyDescent="0.25">
      <c r="A830" s="12"/>
      <c r="B830" s="13"/>
      <c r="C830" s="13"/>
      <c r="D830" s="14"/>
      <c r="E830" s="14"/>
      <c r="F830" s="14"/>
    </row>
    <row r="831" spans="1:6" s="11" customFormat="1" x14ac:dyDescent="0.25">
      <c r="A831" s="12"/>
      <c r="B831" s="13"/>
      <c r="C831" s="13"/>
      <c r="D831" s="14"/>
      <c r="E831" s="14"/>
      <c r="F831" s="14"/>
    </row>
    <row r="832" spans="1:6" s="11" customFormat="1" x14ac:dyDescent="0.25">
      <c r="A832" s="12"/>
      <c r="B832" s="13"/>
      <c r="C832" s="13"/>
      <c r="D832" s="14"/>
      <c r="E832" s="14"/>
      <c r="F832" s="14"/>
    </row>
    <row r="833" spans="1:6" s="11" customFormat="1" x14ac:dyDescent="0.25">
      <c r="A833" s="12"/>
      <c r="B833" s="13"/>
      <c r="C833" s="13"/>
      <c r="D833" s="14"/>
      <c r="E833" s="14"/>
      <c r="F833" s="14"/>
    </row>
    <row r="834" spans="1:6" s="11" customFormat="1" x14ac:dyDescent="0.25">
      <c r="A834" s="12"/>
      <c r="B834" s="13"/>
      <c r="C834" s="13"/>
      <c r="D834" s="14"/>
      <c r="E834" s="14"/>
      <c r="F834" s="14"/>
    </row>
    <row r="835" spans="1:6" s="11" customFormat="1" x14ac:dyDescent="0.25">
      <c r="A835" s="12"/>
      <c r="B835" s="13"/>
      <c r="C835" s="13"/>
      <c r="D835" s="14"/>
      <c r="E835" s="14"/>
      <c r="F835" s="14"/>
    </row>
    <row r="836" spans="1:6" s="11" customFormat="1" x14ac:dyDescent="0.25">
      <c r="A836" s="12"/>
      <c r="B836" s="13"/>
      <c r="C836" s="13"/>
      <c r="D836" s="14"/>
      <c r="E836" s="14"/>
      <c r="F836" s="14"/>
    </row>
    <row r="837" spans="1:6" s="11" customFormat="1" x14ac:dyDescent="0.25">
      <c r="A837" s="12"/>
      <c r="B837" s="13"/>
      <c r="C837" s="13"/>
      <c r="D837" s="14"/>
      <c r="E837" s="14"/>
      <c r="F837" s="14"/>
    </row>
    <row r="838" spans="1:6" s="11" customFormat="1" x14ac:dyDescent="0.25">
      <c r="A838" s="12"/>
      <c r="B838" s="13"/>
      <c r="C838" s="13"/>
      <c r="D838" s="14"/>
      <c r="E838" s="14"/>
      <c r="F838" s="14"/>
    </row>
    <row r="839" spans="1:6" s="11" customFormat="1" x14ac:dyDescent="0.25">
      <c r="A839" s="12"/>
      <c r="B839" s="13"/>
      <c r="C839" s="13"/>
      <c r="D839" s="14"/>
      <c r="E839" s="14"/>
      <c r="F839" s="14"/>
    </row>
    <row r="840" spans="1:6" s="11" customFormat="1" x14ac:dyDescent="0.25">
      <c r="A840" s="12"/>
      <c r="B840" s="13"/>
      <c r="C840" s="13"/>
      <c r="D840" s="14"/>
      <c r="E840" s="14"/>
      <c r="F840" s="14"/>
    </row>
    <row r="841" spans="1:6" s="11" customFormat="1" x14ac:dyDescent="0.25">
      <c r="A841" s="12"/>
      <c r="B841" s="13"/>
      <c r="C841" s="13"/>
      <c r="D841" s="14"/>
      <c r="E841" s="14"/>
      <c r="F841" s="14"/>
    </row>
    <row r="842" spans="1:6" s="11" customFormat="1" x14ac:dyDescent="0.25">
      <c r="A842" s="12"/>
      <c r="B842" s="13"/>
      <c r="C842" s="13"/>
      <c r="D842" s="14"/>
      <c r="E842" s="14"/>
      <c r="F842" s="14"/>
    </row>
    <row r="843" spans="1:6" s="11" customFormat="1" x14ac:dyDescent="0.25">
      <c r="A843" s="12"/>
      <c r="B843" s="13"/>
      <c r="C843" s="13"/>
      <c r="D843" s="14"/>
      <c r="E843" s="14"/>
      <c r="F843" s="14"/>
    </row>
    <row r="844" spans="1:6" s="11" customFormat="1" x14ac:dyDescent="0.25">
      <c r="A844" s="12"/>
      <c r="B844" s="13"/>
      <c r="C844" s="13"/>
      <c r="D844" s="14"/>
      <c r="E844" s="14"/>
      <c r="F844" s="14"/>
    </row>
    <row r="845" spans="1:6" s="11" customFormat="1" x14ac:dyDescent="0.25">
      <c r="A845" s="12"/>
      <c r="B845" s="13"/>
      <c r="C845" s="13"/>
      <c r="D845" s="14"/>
      <c r="E845" s="14"/>
      <c r="F845" s="14"/>
    </row>
    <row r="846" spans="1:6" s="11" customFormat="1" x14ac:dyDescent="0.25">
      <c r="A846" s="12"/>
      <c r="B846" s="13"/>
      <c r="C846" s="13"/>
      <c r="D846" s="14"/>
      <c r="E846" s="14"/>
      <c r="F846" s="14"/>
    </row>
    <row r="847" spans="1:6" s="11" customFormat="1" x14ac:dyDescent="0.25">
      <c r="A847" s="12"/>
      <c r="B847" s="13"/>
      <c r="C847" s="13"/>
      <c r="D847" s="14"/>
      <c r="E847" s="14"/>
      <c r="F847" s="14"/>
    </row>
    <row r="848" spans="1:6" s="11" customFormat="1" x14ac:dyDescent="0.25">
      <c r="A848" s="12"/>
      <c r="B848" s="13"/>
      <c r="C848" s="13"/>
      <c r="D848" s="14"/>
      <c r="E848" s="14"/>
      <c r="F848" s="14"/>
    </row>
    <row r="849" spans="1:6" s="11" customFormat="1" x14ac:dyDescent="0.25">
      <c r="A849" s="12"/>
      <c r="B849" s="13"/>
      <c r="C849" s="13"/>
      <c r="D849" s="14"/>
      <c r="E849" s="14"/>
      <c r="F849" s="14"/>
    </row>
    <row r="850" spans="1:6" s="11" customFormat="1" x14ac:dyDescent="0.25">
      <c r="A850" s="12"/>
      <c r="B850" s="13"/>
      <c r="C850" s="13"/>
      <c r="D850" s="14"/>
      <c r="E850" s="14"/>
      <c r="F850" s="14"/>
    </row>
    <row r="851" spans="1:6" s="11" customFormat="1" x14ac:dyDescent="0.25">
      <c r="A851" s="12"/>
      <c r="B851" s="13"/>
      <c r="C851" s="13"/>
      <c r="D851" s="14"/>
      <c r="E851" s="14"/>
      <c r="F851" s="14"/>
    </row>
    <row r="852" spans="1:6" s="11" customFormat="1" x14ac:dyDescent="0.25">
      <c r="A852" s="12"/>
      <c r="B852" s="13"/>
      <c r="C852" s="13"/>
      <c r="D852" s="14"/>
      <c r="E852" s="14"/>
      <c r="F852" s="14"/>
    </row>
    <row r="853" spans="1:6" s="11" customFormat="1" x14ac:dyDescent="0.25">
      <c r="A853" s="12"/>
      <c r="B853" s="13"/>
      <c r="C853" s="13"/>
      <c r="D853" s="14"/>
      <c r="E853" s="14"/>
      <c r="F853" s="14"/>
    </row>
    <row r="854" spans="1:6" s="11" customFormat="1" x14ac:dyDescent="0.25">
      <c r="A854" s="12"/>
      <c r="B854" s="13"/>
      <c r="C854" s="13"/>
      <c r="D854" s="14"/>
      <c r="E854" s="14"/>
      <c r="F854" s="14"/>
    </row>
    <row r="855" spans="1:6" s="11" customFormat="1" x14ac:dyDescent="0.25">
      <c r="A855" s="12"/>
      <c r="B855" s="13"/>
      <c r="C855" s="13"/>
      <c r="D855" s="14"/>
      <c r="E855" s="14"/>
      <c r="F855" s="14"/>
    </row>
    <row r="856" spans="1:6" s="11" customFormat="1" x14ac:dyDescent="0.25">
      <c r="A856" s="12"/>
      <c r="B856" s="13"/>
      <c r="C856" s="13"/>
      <c r="D856" s="14"/>
      <c r="E856" s="14"/>
      <c r="F856" s="14"/>
    </row>
    <row r="857" spans="1:6" s="11" customFormat="1" x14ac:dyDescent="0.25">
      <c r="A857" s="12"/>
      <c r="B857" s="13"/>
      <c r="C857" s="13"/>
      <c r="D857" s="14"/>
      <c r="E857" s="14"/>
      <c r="F857" s="14"/>
    </row>
    <row r="858" spans="1:6" s="11" customFormat="1" x14ac:dyDescent="0.25">
      <c r="A858" s="12"/>
      <c r="B858" s="13"/>
      <c r="C858" s="13"/>
      <c r="D858" s="14"/>
      <c r="E858" s="14"/>
      <c r="F858" s="14"/>
    </row>
    <row r="859" spans="1:6" s="11" customFormat="1" x14ac:dyDescent="0.25">
      <c r="A859" s="12"/>
      <c r="B859" s="13"/>
      <c r="C859" s="13"/>
      <c r="D859" s="14"/>
      <c r="E859" s="14"/>
      <c r="F859" s="14"/>
    </row>
    <row r="860" spans="1:6" s="11" customFormat="1" x14ac:dyDescent="0.25">
      <c r="A860" s="12"/>
      <c r="B860" s="13"/>
      <c r="C860" s="13"/>
      <c r="D860" s="14"/>
      <c r="E860" s="14"/>
      <c r="F860" s="14"/>
    </row>
    <row r="861" spans="1:6" s="11" customFormat="1" x14ac:dyDescent="0.25">
      <c r="A861" s="12"/>
      <c r="B861" s="13"/>
      <c r="C861" s="13"/>
      <c r="D861" s="14"/>
      <c r="E861" s="14"/>
      <c r="F861" s="14"/>
    </row>
    <row r="862" spans="1:6" s="11" customFormat="1" x14ac:dyDescent="0.25">
      <c r="A862" s="12"/>
      <c r="B862" s="13"/>
      <c r="C862" s="13"/>
      <c r="D862" s="14"/>
      <c r="E862" s="14"/>
      <c r="F862" s="14"/>
    </row>
    <row r="863" spans="1:6" s="11" customFormat="1" x14ac:dyDescent="0.25">
      <c r="A863" s="12"/>
      <c r="B863" s="13"/>
      <c r="C863" s="13"/>
      <c r="D863" s="14"/>
      <c r="E863" s="14"/>
      <c r="F863" s="14"/>
    </row>
    <row r="864" spans="1:6" s="11" customFormat="1" x14ac:dyDescent="0.25">
      <c r="A864" s="12"/>
      <c r="B864" s="13"/>
      <c r="C864" s="13"/>
      <c r="D864" s="14"/>
      <c r="E864" s="14"/>
      <c r="F864" s="14"/>
    </row>
    <row r="865" spans="1:6" s="11" customFormat="1" x14ac:dyDescent="0.25">
      <c r="A865" s="12"/>
      <c r="B865" s="13"/>
      <c r="C865" s="13"/>
      <c r="D865" s="14"/>
      <c r="E865" s="14"/>
      <c r="F865" s="14"/>
    </row>
    <row r="866" spans="1:6" s="11" customFormat="1" x14ac:dyDescent="0.25">
      <c r="A866" s="12"/>
      <c r="B866" s="13"/>
      <c r="C866" s="13"/>
      <c r="D866" s="14"/>
      <c r="E866" s="14"/>
      <c r="F866" s="14"/>
    </row>
    <row r="867" spans="1:6" s="11" customFormat="1" x14ac:dyDescent="0.25">
      <c r="A867" s="12"/>
      <c r="B867" s="13"/>
      <c r="C867" s="13"/>
      <c r="D867" s="14"/>
      <c r="E867" s="14"/>
      <c r="F867" s="14"/>
    </row>
    <row r="868" spans="1:6" s="11" customFormat="1" x14ac:dyDescent="0.25">
      <c r="A868" s="12"/>
      <c r="B868" s="13"/>
      <c r="C868" s="13"/>
      <c r="D868" s="14"/>
      <c r="E868" s="14"/>
      <c r="F868" s="14"/>
    </row>
    <row r="869" spans="1:6" s="11" customFormat="1" x14ac:dyDescent="0.25">
      <c r="A869" s="12"/>
      <c r="B869" s="13"/>
      <c r="C869" s="13"/>
      <c r="D869" s="14"/>
      <c r="E869" s="14"/>
      <c r="F869" s="14"/>
    </row>
    <row r="870" spans="1:6" s="11" customFormat="1" x14ac:dyDescent="0.25">
      <c r="A870" s="12"/>
      <c r="B870" s="13"/>
      <c r="C870" s="13"/>
      <c r="D870" s="14"/>
      <c r="E870" s="14"/>
      <c r="F870" s="14"/>
    </row>
    <row r="871" spans="1:6" s="11" customFormat="1" x14ac:dyDescent="0.25">
      <c r="A871" s="12"/>
      <c r="B871" s="13"/>
      <c r="C871" s="13"/>
      <c r="D871" s="14"/>
      <c r="E871" s="14"/>
      <c r="F871" s="14"/>
    </row>
    <row r="872" spans="1:6" s="11" customFormat="1" x14ac:dyDescent="0.25">
      <c r="A872" s="12"/>
      <c r="B872" s="13"/>
      <c r="C872" s="13"/>
      <c r="D872" s="14"/>
      <c r="E872" s="14"/>
      <c r="F872" s="14"/>
    </row>
    <row r="873" spans="1:6" s="11" customFormat="1" x14ac:dyDescent="0.25">
      <c r="A873" s="12"/>
      <c r="B873" s="13"/>
      <c r="C873" s="13"/>
      <c r="D873" s="14"/>
      <c r="E873" s="14"/>
      <c r="F873" s="14"/>
    </row>
    <row r="874" spans="1:6" s="11" customFormat="1" x14ac:dyDescent="0.25">
      <c r="A874" s="12"/>
      <c r="B874" s="13"/>
      <c r="C874" s="13"/>
      <c r="D874" s="14"/>
      <c r="E874" s="14"/>
      <c r="F874" s="14"/>
    </row>
    <row r="875" spans="1:6" s="11" customFormat="1" x14ac:dyDescent="0.25">
      <c r="A875" s="12"/>
      <c r="B875" s="13"/>
      <c r="C875" s="13"/>
      <c r="D875" s="14"/>
      <c r="E875" s="14"/>
      <c r="F875" s="14"/>
    </row>
    <row r="876" spans="1:6" s="11" customFormat="1" x14ac:dyDescent="0.25">
      <c r="A876" s="12"/>
      <c r="B876" s="13"/>
      <c r="C876" s="13"/>
      <c r="D876" s="14"/>
      <c r="E876" s="14"/>
      <c r="F876" s="14"/>
    </row>
    <row r="877" spans="1:6" s="11" customFormat="1" x14ac:dyDescent="0.25">
      <c r="A877" s="12"/>
      <c r="B877" s="13"/>
      <c r="C877" s="13"/>
      <c r="D877" s="14"/>
      <c r="E877" s="14"/>
      <c r="F877" s="14"/>
    </row>
    <row r="878" spans="1:6" s="11" customFormat="1" x14ac:dyDescent="0.25">
      <c r="A878" s="12"/>
      <c r="B878" s="13"/>
      <c r="C878" s="13"/>
      <c r="D878" s="14"/>
      <c r="E878" s="14"/>
      <c r="F878" s="14"/>
    </row>
    <row r="879" spans="1:6" s="11" customFormat="1" x14ac:dyDescent="0.25">
      <c r="A879" s="12"/>
      <c r="B879" s="13"/>
      <c r="C879" s="13"/>
      <c r="D879" s="14"/>
      <c r="E879" s="14"/>
      <c r="F879" s="14"/>
    </row>
    <row r="880" spans="1:6" s="11" customFormat="1" x14ac:dyDescent="0.25">
      <c r="A880" s="12"/>
      <c r="B880" s="13"/>
      <c r="C880" s="13"/>
      <c r="D880" s="14"/>
      <c r="E880" s="14"/>
      <c r="F880" s="14"/>
    </row>
    <row r="881" spans="1:6" s="11" customFormat="1" x14ac:dyDescent="0.25">
      <c r="A881" s="12"/>
      <c r="B881" s="13"/>
      <c r="C881" s="13"/>
      <c r="D881" s="14"/>
      <c r="E881" s="14"/>
      <c r="F881" s="14"/>
    </row>
    <row r="882" spans="1:6" s="11" customFormat="1" x14ac:dyDescent="0.25">
      <c r="A882" s="12"/>
      <c r="B882" s="13"/>
      <c r="C882" s="13"/>
      <c r="D882" s="14"/>
      <c r="E882" s="14"/>
      <c r="F882" s="14"/>
    </row>
    <row r="883" spans="1:6" s="11" customFormat="1" x14ac:dyDescent="0.25">
      <c r="A883" s="12"/>
      <c r="B883" s="13"/>
      <c r="C883" s="13"/>
      <c r="D883" s="14"/>
      <c r="E883" s="14"/>
      <c r="F883" s="14"/>
    </row>
    <row r="884" spans="1:6" s="11" customFormat="1" x14ac:dyDescent="0.25">
      <c r="A884" s="12"/>
      <c r="B884" s="13"/>
      <c r="C884" s="13"/>
      <c r="D884" s="14"/>
      <c r="E884" s="14"/>
      <c r="F884" s="14"/>
    </row>
    <row r="885" spans="1:6" s="11" customFormat="1" x14ac:dyDescent="0.25">
      <c r="A885" s="12"/>
      <c r="B885" s="13"/>
      <c r="C885" s="13"/>
      <c r="D885" s="14"/>
      <c r="E885" s="14"/>
      <c r="F885" s="14"/>
    </row>
    <row r="886" spans="1:6" s="11" customFormat="1" x14ac:dyDescent="0.25">
      <c r="A886" s="12"/>
      <c r="B886" s="13"/>
      <c r="C886" s="13"/>
      <c r="D886" s="14"/>
      <c r="E886" s="14"/>
      <c r="F886" s="14"/>
    </row>
    <row r="887" spans="1:6" s="11" customFormat="1" x14ac:dyDescent="0.25">
      <c r="A887" s="12"/>
      <c r="B887" s="13"/>
      <c r="C887" s="13"/>
      <c r="D887" s="14"/>
      <c r="E887" s="14"/>
      <c r="F887" s="14"/>
    </row>
    <row r="888" spans="1:6" s="11" customFormat="1" x14ac:dyDescent="0.25">
      <c r="A888" s="12"/>
      <c r="B888" s="13"/>
      <c r="C888" s="13"/>
      <c r="D888" s="14"/>
      <c r="E888" s="14"/>
      <c r="F888" s="14"/>
    </row>
    <row r="889" spans="1:6" s="11" customFormat="1" x14ac:dyDescent="0.25">
      <c r="A889" s="12"/>
      <c r="B889" s="13"/>
      <c r="C889" s="13"/>
      <c r="D889" s="14"/>
      <c r="E889" s="14"/>
      <c r="F889" s="14"/>
    </row>
    <row r="890" spans="1:6" s="11" customFormat="1" x14ac:dyDescent="0.25">
      <c r="A890" s="12"/>
      <c r="B890" s="13"/>
      <c r="C890" s="13"/>
      <c r="D890" s="14"/>
      <c r="E890" s="14"/>
      <c r="F890" s="14"/>
    </row>
    <row r="891" spans="1:6" s="11" customFormat="1" x14ac:dyDescent="0.25">
      <c r="A891" s="12"/>
      <c r="B891" s="13"/>
      <c r="C891" s="13"/>
      <c r="D891" s="14"/>
      <c r="E891" s="14"/>
      <c r="F891" s="14"/>
    </row>
    <row r="892" spans="1:6" s="11" customFormat="1" x14ac:dyDescent="0.25">
      <c r="A892" s="12"/>
      <c r="B892" s="13"/>
      <c r="C892" s="13"/>
      <c r="D892" s="14"/>
      <c r="E892" s="14"/>
      <c r="F892" s="14"/>
    </row>
    <row r="893" spans="1:6" s="11" customFormat="1" x14ac:dyDescent="0.25">
      <c r="A893" s="12"/>
      <c r="B893" s="13"/>
      <c r="C893" s="13"/>
      <c r="D893" s="14"/>
      <c r="E893" s="14"/>
      <c r="F893" s="14"/>
    </row>
    <row r="894" spans="1:6" s="11" customFormat="1" x14ac:dyDescent="0.25">
      <c r="A894" s="12"/>
      <c r="B894" s="13"/>
      <c r="C894" s="13"/>
      <c r="D894" s="14"/>
      <c r="E894" s="14"/>
      <c r="F894" s="14"/>
    </row>
    <row r="895" spans="1:6" s="11" customFormat="1" x14ac:dyDescent="0.25">
      <c r="A895" s="12"/>
      <c r="B895" s="13"/>
      <c r="C895" s="13"/>
      <c r="D895" s="14"/>
      <c r="E895" s="14"/>
      <c r="F895" s="14"/>
    </row>
    <row r="896" spans="1:6" s="11" customFormat="1" x14ac:dyDescent="0.25">
      <c r="A896" s="12"/>
      <c r="B896" s="13"/>
      <c r="C896" s="13"/>
      <c r="D896" s="14"/>
      <c r="E896" s="14"/>
      <c r="F896" s="14"/>
    </row>
    <row r="897" spans="1:6" s="11" customFormat="1" x14ac:dyDescent="0.25">
      <c r="A897" s="12"/>
      <c r="B897" s="13"/>
      <c r="C897" s="13"/>
      <c r="D897" s="14"/>
      <c r="E897" s="14"/>
      <c r="F897" s="14"/>
    </row>
    <row r="898" spans="1:6" s="11" customFormat="1" x14ac:dyDescent="0.25">
      <c r="A898" s="12"/>
      <c r="B898" s="13"/>
      <c r="C898" s="13"/>
      <c r="D898" s="14"/>
      <c r="E898" s="14"/>
      <c r="F898" s="14"/>
    </row>
    <row r="899" spans="1:6" s="11" customFormat="1" x14ac:dyDescent="0.25">
      <c r="A899" s="12"/>
      <c r="B899" s="13"/>
      <c r="C899" s="13"/>
      <c r="D899" s="14"/>
      <c r="E899" s="14"/>
      <c r="F899" s="14"/>
    </row>
    <row r="900" spans="1:6" s="11" customFormat="1" x14ac:dyDescent="0.25">
      <c r="A900" s="12"/>
      <c r="B900" s="13"/>
      <c r="C900" s="13"/>
      <c r="D900" s="14"/>
      <c r="E900" s="14"/>
      <c r="F900" s="14"/>
    </row>
    <row r="901" spans="1:6" s="11" customFormat="1" x14ac:dyDescent="0.25">
      <c r="A901" s="12"/>
      <c r="B901" s="13"/>
      <c r="C901" s="13"/>
      <c r="D901" s="14"/>
      <c r="E901" s="14"/>
      <c r="F901" s="14"/>
    </row>
    <row r="902" spans="1:6" s="11" customFormat="1" x14ac:dyDescent="0.25">
      <c r="A902" s="12"/>
      <c r="B902" s="13"/>
      <c r="C902" s="13"/>
      <c r="D902" s="14"/>
      <c r="E902" s="14"/>
      <c r="F902" s="14"/>
    </row>
    <row r="903" spans="1:6" s="11" customFormat="1" x14ac:dyDescent="0.25">
      <c r="A903" s="12"/>
      <c r="B903" s="13"/>
      <c r="C903" s="13"/>
      <c r="D903" s="14"/>
      <c r="E903" s="14"/>
      <c r="F903" s="14"/>
    </row>
    <row r="904" spans="1:6" s="11" customFormat="1" x14ac:dyDescent="0.25">
      <c r="A904" s="12"/>
      <c r="B904" s="13"/>
      <c r="C904" s="13"/>
      <c r="D904" s="14"/>
      <c r="E904" s="14"/>
      <c r="F904" s="14"/>
    </row>
    <row r="905" spans="1:6" s="11" customFormat="1" x14ac:dyDescent="0.25">
      <c r="A905" s="12"/>
      <c r="B905" s="13"/>
      <c r="C905" s="13"/>
      <c r="D905" s="14"/>
      <c r="E905" s="14"/>
      <c r="F905" s="14"/>
    </row>
    <row r="906" spans="1:6" s="11" customFormat="1" x14ac:dyDescent="0.25">
      <c r="A906" s="12"/>
      <c r="B906" s="13"/>
      <c r="C906" s="13"/>
      <c r="D906" s="14"/>
      <c r="E906" s="14"/>
      <c r="F906" s="14"/>
    </row>
    <row r="907" spans="1:6" s="11" customFormat="1" x14ac:dyDescent="0.25">
      <c r="A907" s="12"/>
      <c r="B907" s="13"/>
      <c r="C907" s="13"/>
      <c r="D907" s="14"/>
      <c r="E907" s="14"/>
      <c r="F907" s="14"/>
    </row>
    <row r="908" spans="1:6" s="11" customFormat="1" x14ac:dyDescent="0.25">
      <c r="A908" s="12"/>
      <c r="B908" s="13"/>
      <c r="C908" s="13"/>
      <c r="D908" s="14"/>
      <c r="E908" s="14"/>
      <c r="F908" s="14"/>
    </row>
    <row r="909" spans="1:6" s="11" customFormat="1" x14ac:dyDescent="0.25">
      <c r="A909" s="12"/>
      <c r="B909" s="13"/>
      <c r="C909" s="13"/>
      <c r="D909" s="14"/>
      <c r="E909" s="14"/>
      <c r="F909" s="14"/>
    </row>
    <row r="910" spans="1:6" s="11" customFormat="1" x14ac:dyDescent="0.25">
      <c r="A910" s="12"/>
      <c r="B910" s="13"/>
      <c r="C910" s="13"/>
      <c r="D910" s="14"/>
      <c r="E910" s="14"/>
      <c r="F910" s="14"/>
    </row>
    <row r="911" spans="1:6" s="11" customFormat="1" x14ac:dyDescent="0.25">
      <c r="A911" s="12"/>
      <c r="B911" s="13"/>
      <c r="C911" s="13"/>
      <c r="D911" s="14"/>
      <c r="E911" s="14"/>
      <c r="F911" s="14"/>
    </row>
    <row r="912" spans="1:6" s="11" customFormat="1" x14ac:dyDescent="0.25">
      <c r="A912" s="12"/>
      <c r="B912" s="13"/>
      <c r="C912" s="13"/>
      <c r="D912" s="14"/>
      <c r="E912" s="14"/>
      <c r="F912" s="14"/>
    </row>
    <row r="913" spans="1:6" s="11" customFormat="1" x14ac:dyDescent="0.25">
      <c r="A913" s="12"/>
      <c r="B913" s="13"/>
      <c r="C913" s="13"/>
      <c r="D913" s="14"/>
      <c r="E913" s="14"/>
      <c r="F913" s="14"/>
    </row>
    <row r="914" spans="1:6" s="11" customFormat="1" x14ac:dyDescent="0.25">
      <c r="A914" s="12"/>
      <c r="B914" s="13"/>
      <c r="C914" s="13"/>
      <c r="D914" s="14"/>
      <c r="E914" s="14"/>
      <c r="F914" s="14"/>
    </row>
    <row r="915" spans="1:6" s="11" customFormat="1" x14ac:dyDescent="0.25">
      <c r="A915" s="12"/>
      <c r="B915" s="13"/>
      <c r="C915" s="13"/>
      <c r="D915" s="14"/>
      <c r="E915" s="14"/>
      <c r="F915" s="14"/>
    </row>
    <row r="916" spans="1:6" s="11" customFormat="1" x14ac:dyDescent="0.25">
      <c r="A916" s="12"/>
      <c r="B916" s="13"/>
      <c r="C916" s="13"/>
      <c r="D916" s="14"/>
      <c r="E916" s="14"/>
      <c r="F916" s="14"/>
    </row>
    <row r="917" spans="1:6" s="11" customFormat="1" x14ac:dyDescent="0.25">
      <c r="A917" s="12"/>
      <c r="B917" s="13"/>
      <c r="C917" s="13"/>
      <c r="D917" s="14"/>
      <c r="E917" s="14"/>
      <c r="F917" s="14"/>
    </row>
    <row r="918" spans="1:6" s="11" customFormat="1" x14ac:dyDescent="0.25">
      <c r="A918" s="12"/>
      <c r="B918" s="13"/>
      <c r="C918" s="13"/>
      <c r="D918" s="14"/>
      <c r="E918" s="14"/>
      <c r="F918" s="14"/>
    </row>
    <row r="919" spans="1:6" s="11" customFormat="1" x14ac:dyDescent="0.25">
      <c r="A919" s="12"/>
      <c r="B919" s="13"/>
      <c r="C919" s="13"/>
      <c r="D919" s="14"/>
      <c r="E919" s="14"/>
      <c r="F919" s="14"/>
    </row>
    <row r="920" spans="1:6" s="11" customFormat="1" x14ac:dyDescent="0.25">
      <c r="A920" s="12"/>
      <c r="B920" s="13"/>
      <c r="C920" s="13"/>
      <c r="D920" s="14"/>
      <c r="E920" s="14"/>
      <c r="F920" s="14"/>
    </row>
    <row r="921" spans="1:6" s="11" customFormat="1" x14ac:dyDescent="0.25">
      <c r="A921" s="12"/>
      <c r="B921" s="13"/>
      <c r="C921" s="13"/>
      <c r="D921" s="14"/>
      <c r="E921" s="14"/>
      <c r="F921" s="14"/>
    </row>
    <row r="922" spans="1:6" s="11" customFormat="1" x14ac:dyDescent="0.25">
      <c r="A922" s="12"/>
      <c r="B922" s="13"/>
      <c r="C922" s="13"/>
      <c r="D922" s="14"/>
      <c r="E922" s="14"/>
      <c r="F922" s="14"/>
    </row>
    <row r="923" spans="1:6" s="11" customFormat="1" x14ac:dyDescent="0.25">
      <c r="A923" s="12"/>
      <c r="B923" s="13"/>
      <c r="C923" s="13"/>
      <c r="D923" s="14"/>
      <c r="E923" s="14"/>
      <c r="F923" s="14"/>
    </row>
    <row r="924" spans="1:6" s="11" customFormat="1" x14ac:dyDescent="0.25">
      <c r="A924" s="12"/>
      <c r="B924" s="13"/>
      <c r="C924" s="13"/>
      <c r="D924" s="14"/>
      <c r="E924" s="14"/>
      <c r="F924" s="14"/>
    </row>
    <row r="925" spans="1:6" s="11" customFormat="1" x14ac:dyDescent="0.25">
      <c r="A925" s="12"/>
      <c r="B925" s="13"/>
      <c r="C925" s="13"/>
      <c r="D925" s="14"/>
      <c r="E925" s="14"/>
      <c r="F925" s="14"/>
    </row>
    <row r="926" spans="1:6" s="11" customFormat="1" x14ac:dyDescent="0.25">
      <c r="A926" s="12"/>
      <c r="B926" s="13"/>
      <c r="C926" s="13"/>
      <c r="D926" s="14"/>
      <c r="E926" s="14"/>
      <c r="F926" s="14"/>
    </row>
    <row r="927" spans="1:6" s="11" customFormat="1" x14ac:dyDescent="0.25">
      <c r="A927" s="12"/>
      <c r="B927" s="13"/>
      <c r="C927" s="13"/>
      <c r="D927" s="14"/>
      <c r="E927" s="14"/>
      <c r="F927" s="14"/>
    </row>
    <row r="928" spans="1:6" s="11" customFormat="1" x14ac:dyDescent="0.25">
      <c r="A928" s="12"/>
      <c r="B928" s="13"/>
      <c r="C928" s="13"/>
      <c r="D928" s="14"/>
      <c r="E928" s="14"/>
      <c r="F928" s="14"/>
    </row>
    <row r="929" spans="1:6" s="11" customFormat="1" x14ac:dyDescent="0.25">
      <c r="A929" s="12"/>
      <c r="B929" s="13"/>
      <c r="C929" s="13"/>
      <c r="D929" s="14"/>
      <c r="E929" s="14"/>
      <c r="F929" s="14"/>
    </row>
    <row r="930" spans="1:6" s="11" customFormat="1" x14ac:dyDescent="0.25">
      <c r="A930" s="12"/>
      <c r="B930" s="13"/>
      <c r="C930" s="13"/>
      <c r="D930" s="14"/>
      <c r="E930" s="14"/>
      <c r="F930" s="14"/>
    </row>
    <row r="931" spans="1:6" s="11" customFormat="1" x14ac:dyDescent="0.25">
      <c r="A931" s="12"/>
      <c r="B931" s="13"/>
      <c r="C931" s="13"/>
      <c r="D931" s="14"/>
      <c r="E931" s="14"/>
      <c r="F931" s="14"/>
    </row>
    <row r="932" spans="1:6" s="11" customFormat="1" x14ac:dyDescent="0.25">
      <c r="A932" s="12"/>
      <c r="B932" s="13"/>
      <c r="C932" s="13"/>
      <c r="D932" s="14"/>
      <c r="E932" s="14"/>
      <c r="F932" s="14"/>
    </row>
    <row r="933" spans="1:6" s="11" customFormat="1" x14ac:dyDescent="0.25">
      <c r="A933" s="12"/>
      <c r="B933" s="13"/>
      <c r="C933" s="13"/>
      <c r="D933" s="14"/>
      <c r="E933" s="14"/>
      <c r="F933" s="14"/>
    </row>
    <row r="934" spans="1:6" s="11" customFormat="1" x14ac:dyDescent="0.25">
      <c r="A934" s="12"/>
      <c r="B934" s="13"/>
      <c r="C934" s="13"/>
      <c r="D934" s="14"/>
      <c r="E934" s="14"/>
      <c r="F934" s="14"/>
    </row>
    <row r="935" spans="1:6" s="11" customFormat="1" x14ac:dyDescent="0.25">
      <c r="A935" s="12"/>
      <c r="B935" s="13"/>
      <c r="C935" s="13"/>
      <c r="D935" s="14"/>
      <c r="E935" s="14"/>
      <c r="F935" s="14"/>
    </row>
    <row r="936" spans="1:6" s="11" customFormat="1" x14ac:dyDescent="0.25">
      <c r="A936" s="12"/>
      <c r="B936" s="13"/>
      <c r="C936" s="13"/>
      <c r="D936" s="14"/>
      <c r="E936" s="14"/>
      <c r="F936" s="14"/>
    </row>
    <row r="937" spans="1:6" s="11" customFormat="1" x14ac:dyDescent="0.25">
      <c r="A937" s="12"/>
      <c r="B937" s="13"/>
      <c r="C937" s="13"/>
      <c r="D937" s="14"/>
      <c r="E937" s="14"/>
      <c r="F937" s="14"/>
    </row>
    <row r="938" spans="1:6" s="11" customFormat="1" x14ac:dyDescent="0.25">
      <c r="A938" s="12"/>
      <c r="B938" s="13"/>
      <c r="C938" s="13"/>
      <c r="D938" s="14"/>
      <c r="E938" s="14"/>
      <c r="F938" s="14"/>
    </row>
    <row r="939" spans="1:6" s="11" customFormat="1" x14ac:dyDescent="0.25">
      <c r="A939" s="12"/>
      <c r="B939" s="13"/>
      <c r="C939" s="13"/>
      <c r="D939" s="14"/>
      <c r="E939" s="14"/>
      <c r="F939" s="14"/>
    </row>
    <row r="940" spans="1:6" s="11" customFormat="1" x14ac:dyDescent="0.25">
      <c r="A940" s="12"/>
      <c r="B940" s="13"/>
      <c r="C940" s="13"/>
      <c r="D940" s="14"/>
      <c r="E940" s="14"/>
      <c r="F940" s="14"/>
    </row>
    <row r="941" spans="1:6" s="11" customFormat="1" x14ac:dyDescent="0.25">
      <c r="A941" s="12"/>
      <c r="B941" s="13"/>
      <c r="C941" s="13"/>
      <c r="D941" s="14"/>
      <c r="E941" s="14"/>
      <c r="F941" s="14"/>
    </row>
    <row r="942" spans="1:6" s="11" customFormat="1" x14ac:dyDescent="0.25">
      <c r="A942" s="12"/>
      <c r="B942" s="13"/>
      <c r="C942" s="13"/>
      <c r="D942" s="14"/>
      <c r="E942" s="14"/>
      <c r="F942" s="14"/>
    </row>
    <row r="943" spans="1:6" s="11" customFormat="1" x14ac:dyDescent="0.25">
      <c r="A943" s="12"/>
      <c r="B943" s="13"/>
      <c r="C943" s="13"/>
      <c r="D943" s="14"/>
      <c r="E943" s="14"/>
      <c r="F943" s="14"/>
    </row>
    <row r="944" spans="1:6" s="11" customFormat="1" x14ac:dyDescent="0.25">
      <c r="A944" s="12"/>
      <c r="B944" s="13"/>
      <c r="C944" s="13"/>
      <c r="D944" s="14"/>
      <c r="E944" s="14"/>
      <c r="F944" s="14"/>
    </row>
    <row r="945" spans="1:6" s="11" customFormat="1" x14ac:dyDescent="0.25">
      <c r="A945" s="12"/>
      <c r="B945" s="13"/>
      <c r="C945" s="13"/>
      <c r="D945" s="14"/>
      <c r="E945" s="14"/>
      <c r="F945" s="14"/>
    </row>
    <row r="946" spans="1:6" s="11" customFormat="1" x14ac:dyDescent="0.25">
      <c r="A946" s="12"/>
      <c r="B946" s="13"/>
      <c r="C946" s="13"/>
      <c r="D946" s="14"/>
      <c r="E946" s="14"/>
      <c r="F946" s="14"/>
    </row>
    <row r="947" spans="1:6" s="11" customFormat="1" x14ac:dyDescent="0.25">
      <c r="A947" s="12"/>
      <c r="B947" s="13"/>
      <c r="C947" s="13"/>
      <c r="D947" s="14"/>
      <c r="E947" s="14"/>
      <c r="F947" s="14"/>
    </row>
    <row r="948" spans="1:6" s="11" customFormat="1" x14ac:dyDescent="0.25">
      <c r="A948" s="12"/>
      <c r="B948" s="13"/>
      <c r="C948" s="13"/>
      <c r="D948" s="14"/>
      <c r="E948" s="14"/>
      <c r="F948" s="14"/>
    </row>
    <row r="949" spans="1:6" s="11" customFormat="1" x14ac:dyDescent="0.25">
      <c r="A949" s="12"/>
      <c r="B949" s="13"/>
      <c r="C949" s="13"/>
      <c r="D949" s="14"/>
      <c r="E949" s="14"/>
      <c r="F949" s="14"/>
    </row>
    <row r="950" spans="1:6" s="11" customFormat="1" x14ac:dyDescent="0.25">
      <c r="A950" s="12"/>
      <c r="B950" s="13"/>
      <c r="C950" s="13"/>
      <c r="D950" s="14"/>
      <c r="E950" s="14"/>
      <c r="F950" s="14"/>
    </row>
    <row r="951" spans="1:6" s="11" customFormat="1" x14ac:dyDescent="0.25">
      <c r="A951" s="12"/>
      <c r="B951" s="13"/>
      <c r="C951" s="13"/>
      <c r="D951" s="14"/>
      <c r="E951" s="14"/>
      <c r="F951" s="14"/>
    </row>
    <row r="952" spans="1:6" s="11" customFormat="1" x14ac:dyDescent="0.25">
      <c r="A952" s="12"/>
      <c r="B952" s="13"/>
      <c r="C952" s="13"/>
      <c r="D952" s="14"/>
      <c r="E952" s="14"/>
      <c r="F952" s="14"/>
    </row>
    <row r="953" spans="1:6" s="11" customFormat="1" x14ac:dyDescent="0.25">
      <c r="A953" s="12"/>
      <c r="B953" s="13"/>
      <c r="C953" s="13"/>
      <c r="D953" s="14"/>
      <c r="E953" s="14"/>
      <c r="F953" s="14"/>
    </row>
    <row r="954" spans="1:6" s="11" customFormat="1" x14ac:dyDescent="0.25">
      <c r="A954" s="12"/>
      <c r="B954" s="13"/>
      <c r="C954" s="13"/>
      <c r="D954" s="14"/>
      <c r="E954" s="14"/>
      <c r="F954" s="14"/>
    </row>
    <row r="955" spans="1:6" s="11" customFormat="1" x14ac:dyDescent="0.25">
      <c r="A955" s="12"/>
      <c r="B955" s="13"/>
      <c r="C955" s="13"/>
      <c r="D955" s="14"/>
      <c r="E955" s="14"/>
      <c r="F955" s="14"/>
    </row>
    <row r="956" spans="1:6" s="11" customFormat="1" x14ac:dyDescent="0.25">
      <c r="A956" s="12"/>
      <c r="B956" s="13"/>
      <c r="C956" s="13"/>
      <c r="D956" s="14"/>
      <c r="E956" s="14"/>
      <c r="F956" s="14"/>
    </row>
    <row r="957" spans="1:6" s="11" customFormat="1" x14ac:dyDescent="0.25">
      <c r="A957" s="12"/>
      <c r="B957" s="13"/>
      <c r="C957" s="13"/>
      <c r="D957" s="14"/>
      <c r="E957" s="14"/>
      <c r="F957" s="14"/>
    </row>
    <row r="958" spans="1:6" s="11" customFormat="1" x14ac:dyDescent="0.25">
      <c r="A958" s="12"/>
      <c r="B958" s="13"/>
      <c r="C958" s="13"/>
      <c r="D958" s="14"/>
      <c r="E958" s="14"/>
      <c r="F958" s="14"/>
    </row>
    <row r="959" spans="1:6" s="11" customFormat="1" x14ac:dyDescent="0.25">
      <c r="A959" s="12"/>
      <c r="B959" s="13"/>
      <c r="C959" s="13"/>
      <c r="D959" s="14"/>
      <c r="E959" s="14"/>
      <c r="F959" s="14"/>
    </row>
    <row r="960" spans="1:6" s="11" customFormat="1" x14ac:dyDescent="0.25">
      <c r="A960" s="12"/>
      <c r="B960" s="13"/>
      <c r="C960" s="13"/>
      <c r="D960" s="14"/>
      <c r="E960" s="14"/>
      <c r="F960" s="14"/>
    </row>
    <row r="961" spans="1:6" s="11" customFormat="1" x14ac:dyDescent="0.25">
      <c r="A961" s="12"/>
      <c r="B961" s="13"/>
      <c r="C961" s="13"/>
      <c r="D961" s="14"/>
      <c r="E961" s="14"/>
      <c r="F961" s="14"/>
    </row>
    <row r="962" spans="1:6" s="11" customFormat="1" x14ac:dyDescent="0.25">
      <c r="A962" s="12"/>
      <c r="B962" s="13"/>
      <c r="C962" s="13"/>
      <c r="D962" s="14"/>
      <c r="E962" s="14"/>
      <c r="F962" s="14"/>
    </row>
    <row r="963" spans="1:6" s="11" customFormat="1" x14ac:dyDescent="0.25">
      <c r="A963" s="12"/>
      <c r="B963" s="13"/>
      <c r="C963" s="13"/>
      <c r="D963" s="14"/>
      <c r="E963" s="14"/>
      <c r="F963" s="14"/>
    </row>
    <row r="964" spans="1:6" s="11" customFormat="1" x14ac:dyDescent="0.25">
      <c r="A964" s="12"/>
      <c r="B964" s="13"/>
      <c r="C964" s="13"/>
      <c r="D964" s="14"/>
      <c r="E964" s="14"/>
      <c r="F964" s="14"/>
    </row>
    <row r="965" spans="1:6" s="11" customFormat="1" x14ac:dyDescent="0.25">
      <c r="A965" s="12"/>
      <c r="B965" s="13"/>
      <c r="C965" s="13"/>
      <c r="D965" s="14"/>
      <c r="E965" s="14"/>
      <c r="F965" s="14"/>
    </row>
    <row r="966" spans="1:6" s="11" customFormat="1" x14ac:dyDescent="0.25">
      <c r="A966" s="12"/>
      <c r="B966" s="13"/>
      <c r="C966" s="13"/>
      <c r="D966" s="14"/>
      <c r="E966" s="14"/>
      <c r="F966" s="14"/>
    </row>
    <row r="967" spans="1:6" s="11" customFormat="1" x14ac:dyDescent="0.25">
      <c r="A967" s="12"/>
      <c r="B967" s="13"/>
      <c r="C967" s="13"/>
      <c r="D967" s="14"/>
      <c r="E967" s="14"/>
      <c r="F967" s="14"/>
    </row>
    <row r="968" spans="1:6" s="11" customFormat="1" x14ac:dyDescent="0.25">
      <c r="A968" s="12"/>
      <c r="B968" s="13"/>
      <c r="C968" s="13"/>
      <c r="D968" s="14"/>
      <c r="E968" s="14"/>
      <c r="F968" s="14"/>
    </row>
    <row r="969" spans="1:6" s="11" customFormat="1" x14ac:dyDescent="0.25">
      <c r="A969" s="12"/>
      <c r="B969" s="13"/>
      <c r="C969" s="13"/>
      <c r="D969" s="14"/>
      <c r="E969" s="14"/>
      <c r="F969" s="14"/>
    </row>
    <row r="970" spans="1:6" s="11" customFormat="1" x14ac:dyDescent="0.25">
      <c r="A970" s="12"/>
      <c r="B970" s="13"/>
      <c r="C970" s="13"/>
      <c r="D970" s="14"/>
      <c r="E970" s="14"/>
      <c r="F970" s="14"/>
    </row>
    <row r="971" spans="1:6" s="11" customFormat="1" x14ac:dyDescent="0.25">
      <c r="A971" s="12"/>
      <c r="B971" s="13"/>
      <c r="C971" s="13"/>
      <c r="D971" s="14"/>
      <c r="E971" s="14"/>
      <c r="F971" s="14"/>
    </row>
    <row r="972" spans="1:6" s="11" customFormat="1" x14ac:dyDescent="0.25">
      <c r="A972" s="12"/>
      <c r="B972" s="13"/>
      <c r="C972" s="13"/>
      <c r="D972" s="14"/>
      <c r="E972" s="14"/>
      <c r="F972" s="14"/>
    </row>
    <row r="973" spans="1:6" s="11" customFormat="1" x14ac:dyDescent="0.25">
      <c r="A973" s="12"/>
      <c r="B973" s="13"/>
      <c r="C973" s="13"/>
      <c r="D973" s="14"/>
      <c r="E973" s="14"/>
      <c r="F973" s="14"/>
    </row>
    <row r="974" spans="1:6" s="11" customFormat="1" x14ac:dyDescent="0.25">
      <c r="A974" s="12"/>
      <c r="B974" s="13"/>
      <c r="C974" s="13"/>
      <c r="D974" s="14"/>
      <c r="E974" s="14"/>
      <c r="F974" s="14"/>
    </row>
    <row r="975" spans="1:6" s="11" customFormat="1" x14ac:dyDescent="0.25">
      <c r="A975" s="12"/>
      <c r="B975" s="13"/>
      <c r="C975" s="13"/>
      <c r="D975" s="14"/>
      <c r="E975" s="14"/>
      <c r="F975" s="14"/>
    </row>
    <row r="976" spans="1:6" s="11" customFormat="1" x14ac:dyDescent="0.25">
      <c r="A976" s="12"/>
      <c r="B976" s="13"/>
      <c r="C976" s="13"/>
      <c r="D976" s="14"/>
      <c r="E976" s="14"/>
      <c r="F976" s="14"/>
    </row>
    <row r="977" spans="1:6" s="11" customFormat="1" x14ac:dyDescent="0.25">
      <c r="A977" s="12"/>
      <c r="B977" s="13"/>
      <c r="C977" s="13"/>
      <c r="D977" s="14"/>
      <c r="E977" s="14"/>
      <c r="F977" s="14"/>
    </row>
    <row r="978" spans="1:6" s="11" customFormat="1" x14ac:dyDescent="0.25">
      <c r="A978" s="12"/>
      <c r="B978" s="13"/>
      <c r="C978" s="13"/>
      <c r="D978" s="14"/>
      <c r="E978" s="14"/>
      <c r="F978" s="14"/>
    </row>
    <row r="979" spans="1:6" s="11" customFormat="1" x14ac:dyDescent="0.25">
      <c r="A979" s="12"/>
      <c r="B979" s="13"/>
      <c r="C979" s="13"/>
      <c r="D979" s="14"/>
      <c r="E979" s="14"/>
      <c r="F979" s="14"/>
    </row>
    <row r="980" spans="1:6" s="11" customFormat="1" x14ac:dyDescent="0.25">
      <c r="A980" s="12"/>
      <c r="B980" s="13"/>
      <c r="C980" s="13"/>
      <c r="D980" s="14"/>
      <c r="E980" s="14"/>
      <c r="F980" s="14"/>
    </row>
    <row r="981" spans="1:6" s="11" customFormat="1" x14ac:dyDescent="0.25">
      <c r="A981" s="12"/>
      <c r="B981" s="13"/>
      <c r="C981" s="13"/>
      <c r="D981" s="14"/>
      <c r="E981" s="14"/>
      <c r="F981" s="14"/>
    </row>
    <row r="982" spans="1:6" s="11" customFormat="1" x14ac:dyDescent="0.25">
      <c r="A982" s="12"/>
      <c r="B982" s="13"/>
      <c r="C982" s="13"/>
      <c r="D982" s="14"/>
      <c r="E982" s="14"/>
      <c r="F982" s="14"/>
    </row>
    <row r="983" spans="1:6" s="11" customFormat="1" x14ac:dyDescent="0.25">
      <c r="A983" s="12"/>
      <c r="B983" s="13"/>
      <c r="C983" s="13"/>
      <c r="D983" s="14"/>
      <c r="E983" s="14"/>
      <c r="F983" s="14"/>
    </row>
    <row r="984" spans="1:6" s="11" customFormat="1" x14ac:dyDescent="0.25">
      <c r="A984" s="12"/>
      <c r="B984" s="13"/>
      <c r="C984" s="13"/>
      <c r="D984" s="14"/>
      <c r="E984" s="14"/>
      <c r="F984" s="14"/>
    </row>
    <row r="985" spans="1:6" s="11" customFormat="1" x14ac:dyDescent="0.25">
      <c r="A985" s="12"/>
      <c r="B985" s="13"/>
      <c r="C985" s="13"/>
      <c r="D985" s="14"/>
      <c r="E985" s="14"/>
      <c r="F985" s="14"/>
    </row>
    <row r="986" spans="1:6" s="11" customFormat="1" x14ac:dyDescent="0.25">
      <c r="A986" s="12"/>
      <c r="B986" s="13"/>
      <c r="C986" s="13"/>
      <c r="D986" s="14"/>
      <c r="E986" s="14"/>
      <c r="F986" s="14"/>
    </row>
    <row r="987" spans="1:6" s="11" customFormat="1" x14ac:dyDescent="0.25">
      <c r="A987" s="12"/>
      <c r="B987" s="13"/>
      <c r="C987" s="13"/>
      <c r="D987" s="14"/>
      <c r="E987" s="14"/>
      <c r="F987" s="14"/>
    </row>
    <row r="988" spans="1:6" s="11" customFormat="1" x14ac:dyDescent="0.25">
      <c r="A988" s="12"/>
      <c r="B988" s="13"/>
      <c r="C988" s="13"/>
      <c r="D988" s="14"/>
      <c r="E988" s="14"/>
      <c r="F988" s="14"/>
    </row>
    <row r="989" spans="1:6" s="11" customFormat="1" x14ac:dyDescent="0.25">
      <c r="A989" s="12"/>
      <c r="B989" s="13"/>
      <c r="C989" s="13"/>
      <c r="D989" s="14"/>
      <c r="E989" s="14"/>
      <c r="F989" s="14"/>
    </row>
    <row r="990" spans="1:6" s="11" customFormat="1" x14ac:dyDescent="0.25">
      <c r="A990" s="12"/>
      <c r="B990" s="13"/>
      <c r="C990" s="13"/>
      <c r="D990" s="14"/>
      <c r="E990" s="14"/>
      <c r="F990" s="14"/>
    </row>
    <row r="991" spans="1:6" s="11" customFormat="1" x14ac:dyDescent="0.25">
      <c r="A991" s="12"/>
      <c r="B991" s="13"/>
      <c r="C991" s="13"/>
      <c r="D991" s="14"/>
      <c r="E991" s="14"/>
      <c r="F991" s="14"/>
    </row>
    <row r="992" spans="1:6" s="11" customFormat="1" x14ac:dyDescent="0.25">
      <c r="A992" s="12"/>
      <c r="B992" s="13"/>
      <c r="C992" s="13"/>
      <c r="D992" s="14"/>
      <c r="E992" s="14"/>
      <c r="F992" s="14"/>
    </row>
    <row r="993" spans="1:6" s="11" customFormat="1" x14ac:dyDescent="0.25">
      <c r="A993" s="12"/>
      <c r="B993" s="13"/>
      <c r="C993" s="13"/>
      <c r="D993" s="14"/>
      <c r="E993" s="14"/>
      <c r="F993" s="14"/>
    </row>
    <row r="994" spans="1:6" s="11" customFormat="1" x14ac:dyDescent="0.25">
      <c r="A994" s="12"/>
      <c r="B994" s="13"/>
      <c r="C994" s="13"/>
      <c r="D994" s="14"/>
      <c r="E994" s="14"/>
      <c r="F994" s="14"/>
    </row>
    <row r="995" spans="1:6" s="11" customFormat="1" x14ac:dyDescent="0.25">
      <c r="A995" s="12"/>
      <c r="B995" s="13"/>
      <c r="C995" s="13"/>
      <c r="D995" s="14"/>
      <c r="E995" s="14"/>
      <c r="F995" s="14"/>
    </row>
    <row r="996" spans="1:6" s="11" customFormat="1" x14ac:dyDescent="0.25">
      <c r="A996" s="12"/>
      <c r="B996" s="13"/>
      <c r="C996" s="13"/>
      <c r="D996" s="14"/>
      <c r="E996" s="14"/>
      <c r="F996" s="14"/>
    </row>
    <row r="997" spans="1:6" s="11" customFormat="1" x14ac:dyDescent="0.25">
      <c r="A997" s="12"/>
      <c r="B997" s="13"/>
      <c r="C997" s="13"/>
      <c r="D997" s="14"/>
      <c r="E997" s="14"/>
      <c r="F997" s="14"/>
    </row>
    <row r="998" spans="1:6" s="11" customFormat="1" x14ac:dyDescent="0.25">
      <c r="A998" s="12"/>
      <c r="B998" s="13"/>
      <c r="C998" s="13"/>
      <c r="D998" s="14"/>
      <c r="E998" s="14"/>
      <c r="F998" s="14"/>
    </row>
    <row r="999" spans="1:6" s="11" customFormat="1" x14ac:dyDescent="0.25">
      <c r="A999" s="12"/>
      <c r="B999" s="13"/>
      <c r="C999" s="13"/>
      <c r="D999" s="14"/>
      <c r="E999" s="14"/>
      <c r="F999" s="14"/>
    </row>
    <row r="1000" spans="1:6" s="11" customFormat="1" x14ac:dyDescent="0.25">
      <c r="A1000" s="12"/>
      <c r="B1000" s="13"/>
      <c r="C1000" s="13"/>
      <c r="D1000" s="14"/>
      <c r="E1000" s="14"/>
      <c r="F1000" s="14"/>
    </row>
    <row r="1001" spans="1:6" s="11" customFormat="1" x14ac:dyDescent="0.25">
      <c r="A1001" s="12"/>
      <c r="B1001" s="13"/>
      <c r="C1001" s="13"/>
      <c r="D1001" s="14"/>
      <c r="E1001" s="14"/>
      <c r="F1001" s="14"/>
    </row>
    <row r="1002" spans="1:6" s="11" customFormat="1" x14ac:dyDescent="0.25">
      <c r="A1002" s="12"/>
      <c r="B1002" s="13"/>
      <c r="C1002" s="13"/>
      <c r="D1002" s="14"/>
      <c r="E1002" s="14"/>
      <c r="F1002" s="14"/>
    </row>
    <row r="1003" spans="1:6" s="11" customFormat="1" x14ac:dyDescent="0.25">
      <c r="A1003" s="12"/>
      <c r="B1003" s="13"/>
      <c r="C1003" s="13"/>
      <c r="D1003" s="14"/>
      <c r="E1003" s="14"/>
      <c r="F1003" s="14"/>
    </row>
    <row r="1004" spans="1:6" s="11" customFormat="1" x14ac:dyDescent="0.25">
      <c r="A1004" s="12"/>
      <c r="B1004" s="13"/>
      <c r="C1004" s="13"/>
      <c r="D1004" s="14"/>
      <c r="E1004" s="14"/>
      <c r="F1004" s="14"/>
    </row>
    <row r="1005" spans="1:6" s="11" customFormat="1" x14ac:dyDescent="0.25">
      <c r="A1005" s="12"/>
      <c r="B1005" s="13"/>
      <c r="C1005" s="13"/>
      <c r="D1005" s="14"/>
      <c r="E1005" s="14"/>
      <c r="F1005" s="14"/>
    </row>
    <row r="1006" spans="1:6" s="11" customFormat="1" x14ac:dyDescent="0.25">
      <c r="A1006" s="12"/>
      <c r="B1006" s="13"/>
      <c r="C1006" s="13"/>
      <c r="D1006" s="14"/>
      <c r="E1006" s="14"/>
      <c r="F1006" s="14"/>
    </row>
    <row r="1007" spans="1:6" s="11" customFormat="1" x14ac:dyDescent="0.25">
      <c r="A1007" s="12"/>
      <c r="B1007" s="13"/>
      <c r="C1007" s="13"/>
      <c r="D1007" s="14"/>
      <c r="E1007" s="14"/>
      <c r="F1007" s="14"/>
    </row>
    <row r="1008" spans="1:6" s="11" customFormat="1" x14ac:dyDescent="0.25">
      <c r="A1008" s="12"/>
      <c r="B1008" s="13"/>
      <c r="C1008" s="13"/>
      <c r="D1008" s="14"/>
      <c r="E1008" s="14"/>
      <c r="F1008" s="14"/>
    </row>
    <row r="1009" spans="1:6" s="11" customFormat="1" x14ac:dyDescent="0.25">
      <c r="A1009" s="12"/>
      <c r="B1009" s="13"/>
      <c r="C1009" s="13"/>
      <c r="D1009" s="14"/>
      <c r="E1009" s="14"/>
      <c r="F1009" s="14"/>
    </row>
    <row r="1010" spans="1:6" s="11" customFormat="1" x14ac:dyDescent="0.25">
      <c r="A1010" s="12"/>
      <c r="B1010" s="13"/>
      <c r="C1010" s="13"/>
      <c r="D1010" s="14"/>
      <c r="E1010" s="14"/>
      <c r="F1010" s="14"/>
    </row>
    <row r="1011" spans="1:6" s="11" customFormat="1" x14ac:dyDescent="0.25">
      <c r="A1011" s="12"/>
      <c r="B1011" s="13"/>
      <c r="C1011" s="13"/>
      <c r="D1011" s="14"/>
      <c r="E1011" s="14"/>
      <c r="F1011" s="14"/>
    </row>
    <row r="1012" spans="1:6" s="11" customFormat="1" x14ac:dyDescent="0.25">
      <c r="A1012" s="12"/>
      <c r="B1012" s="13"/>
      <c r="C1012" s="13"/>
      <c r="D1012" s="14"/>
      <c r="E1012" s="14"/>
      <c r="F1012" s="14"/>
    </row>
    <row r="1013" spans="1:6" s="11" customFormat="1" x14ac:dyDescent="0.25">
      <c r="A1013" s="12"/>
      <c r="B1013" s="13"/>
      <c r="C1013" s="13"/>
      <c r="D1013" s="14"/>
      <c r="E1013" s="14"/>
      <c r="F1013" s="14"/>
    </row>
    <row r="1014" spans="1:6" s="11" customFormat="1" x14ac:dyDescent="0.25">
      <c r="A1014" s="12"/>
      <c r="B1014" s="13"/>
      <c r="C1014" s="13"/>
      <c r="D1014" s="14"/>
      <c r="E1014" s="14"/>
      <c r="F1014" s="14"/>
    </row>
    <row r="1015" spans="1:6" s="11" customFormat="1" x14ac:dyDescent="0.25">
      <c r="A1015" s="12"/>
      <c r="B1015" s="13"/>
      <c r="C1015" s="13"/>
      <c r="D1015" s="14"/>
      <c r="E1015" s="14"/>
      <c r="F1015" s="14"/>
    </row>
    <row r="1016" spans="1:6" s="11" customFormat="1" x14ac:dyDescent="0.25">
      <c r="A1016" s="12"/>
      <c r="B1016" s="13"/>
      <c r="C1016" s="13"/>
      <c r="D1016" s="14"/>
      <c r="E1016" s="14"/>
      <c r="F1016" s="14"/>
    </row>
    <row r="1017" spans="1:6" s="11" customFormat="1" x14ac:dyDescent="0.25">
      <c r="A1017" s="12"/>
      <c r="B1017" s="13"/>
      <c r="C1017" s="13"/>
      <c r="D1017" s="14"/>
      <c r="E1017" s="14"/>
      <c r="F1017" s="14"/>
    </row>
    <row r="1018" spans="1:6" s="11" customFormat="1" x14ac:dyDescent="0.25">
      <c r="A1018" s="12"/>
      <c r="B1018" s="13"/>
      <c r="C1018" s="13"/>
      <c r="D1018" s="14"/>
      <c r="E1018" s="14"/>
      <c r="F1018" s="14"/>
    </row>
    <row r="1019" spans="1:6" s="11" customFormat="1" x14ac:dyDescent="0.25">
      <c r="A1019" s="12"/>
      <c r="B1019" s="13"/>
      <c r="C1019" s="13"/>
      <c r="D1019" s="14"/>
      <c r="E1019" s="14"/>
      <c r="F1019" s="14"/>
    </row>
    <row r="1020" spans="1:6" s="11" customFormat="1" x14ac:dyDescent="0.25">
      <c r="A1020" s="12"/>
      <c r="B1020" s="13"/>
      <c r="C1020" s="13"/>
      <c r="D1020" s="14"/>
      <c r="E1020" s="14"/>
      <c r="F1020" s="14"/>
    </row>
    <row r="1021" spans="1:6" s="11" customFormat="1" x14ac:dyDescent="0.25">
      <c r="A1021" s="12"/>
      <c r="B1021" s="13"/>
      <c r="C1021" s="13"/>
      <c r="D1021" s="14"/>
      <c r="E1021" s="14"/>
      <c r="F1021" s="14"/>
    </row>
    <row r="1022" spans="1:6" s="11" customFormat="1" x14ac:dyDescent="0.25">
      <c r="A1022" s="12"/>
      <c r="B1022" s="13"/>
      <c r="C1022" s="13"/>
      <c r="D1022" s="14"/>
      <c r="E1022" s="14"/>
      <c r="F1022" s="14"/>
    </row>
    <row r="1023" spans="1:6" s="11" customFormat="1" x14ac:dyDescent="0.25">
      <c r="A1023" s="12"/>
      <c r="B1023" s="13"/>
      <c r="C1023" s="13"/>
      <c r="D1023" s="14"/>
      <c r="E1023" s="14"/>
      <c r="F1023" s="14"/>
    </row>
    <row r="1024" spans="1:6" s="11" customFormat="1" x14ac:dyDescent="0.25">
      <c r="A1024" s="12"/>
      <c r="B1024" s="13"/>
      <c r="C1024" s="13"/>
      <c r="D1024" s="14"/>
      <c r="E1024" s="14"/>
      <c r="F1024" s="14"/>
    </row>
    <row r="1025" spans="1:6" s="11" customFormat="1" x14ac:dyDescent="0.25">
      <c r="A1025" s="12"/>
      <c r="B1025" s="13"/>
      <c r="C1025" s="13"/>
      <c r="D1025" s="14"/>
      <c r="E1025" s="14"/>
      <c r="F1025" s="14"/>
    </row>
    <row r="1026" spans="1:6" s="11" customFormat="1" x14ac:dyDescent="0.25">
      <c r="A1026" s="12"/>
      <c r="B1026" s="13"/>
      <c r="C1026" s="13"/>
      <c r="D1026" s="14"/>
      <c r="E1026" s="14"/>
      <c r="F1026" s="14"/>
    </row>
    <row r="1027" spans="1:6" s="11" customFormat="1" x14ac:dyDescent="0.25">
      <c r="A1027" s="12"/>
      <c r="B1027" s="13"/>
      <c r="C1027" s="13"/>
      <c r="D1027" s="14"/>
      <c r="E1027" s="14"/>
      <c r="F1027" s="14"/>
    </row>
    <row r="1028" spans="1:6" s="11" customFormat="1" x14ac:dyDescent="0.25">
      <c r="A1028" s="12"/>
      <c r="B1028" s="13"/>
      <c r="C1028" s="13"/>
      <c r="D1028" s="14"/>
      <c r="E1028" s="14"/>
      <c r="F1028" s="14"/>
    </row>
    <row r="1029" spans="1:6" s="11" customFormat="1" x14ac:dyDescent="0.25">
      <c r="A1029" s="12"/>
      <c r="B1029" s="13"/>
      <c r="C1029" s="13"/>
      <c r="D1029" s="14"/>
      <c r="E1029" s="14"/>
      <c r="F1029" s="14"/>
    </row>
    <row r="1030" spans="1:6" s="11" customFormat="1" x14ac:dyDescent="0.25">
      <c r="A1030" s="12"/>
      <c r="B1030" s="13"/>
      <c r="C1030" s="13"/>
      <c r="D1030" s="14"/>
      <c r="E1030" s="14"/>
      <c r="F1030" s="14"/>
    </row>
    <row r="1031" spans="1:6" s="11" customFormat="1" x14ac:dyDescent="0.25">
      <c r="A1031" s="12"/>
      <c r="B1031" s="13"/>
      <c r="C1031" s="13"/>
      <c r="D1031" s="14"/>
      <c r="E1031" s="14"/>
      <c r="F1031" s="14"/>
    </row>
    <row r="1032" spans="1:6" s="11" customFormat="1" x14ac:dyDescent="0.25">
      <c r="A1032" s="12"/>
      <c r="B1032" s="13"/>
      <c r="C1032" s="13"/>
      <c r="D1032" s="14"/>
      <c r="E1032" s="14"/>
      <c r="F1032" s="14"/>
    </row>
    <row r="1033" spans="1:6" s="11" customFormat="1" x14ac:dyDescent="0.25">
      <c r="A1033" s="12"/>
      <c r="B1033" s="13"/>
      <c r="C1033" s="13"/>
      <c r="D1033" s="14"/>
      <c r="E1033" s="14"/>
      <c r="F1033" s="14"/>
    </row>
    <row r="1034" spans="1:6" s="11" customFormat="1" x14ac:dyDescent="0.25">
      <c r="A1034" s="12"/>
      <c r="B1034" s="13"/>
      <c r="C1034" s="13"/>
      <c r="D1034" s="14"/>
      <c r="E1034" s="14"/>
      <c r="F1034" s="14"/>
    </row>
    <row r="1035" spans="1:6" s="11" customFormat="1" x14ac:dyDescent="0.25">
      <c r="A1035" s="12"/>
      <c r="B1035" s="13"/>
      <c r="C1035" s="13"/>
      <c r="D1035" s="14"/>
      <c r="E1035" s="14"/>
      <c r="F1035" s="14"/>
    </row>
    <row r="1036" spans="1:6" s="11" customFormat="1" x14ac:dyDescent="0.25">
      <c r="A1036" s="12"/>
      <c r="B1036" s="13"/>
      <c r="C1036" s="13"/>
      <c r="D1036" s="14"/>
      <c r="E1036" s="14"/>
      <c r="F1036" s="14"/>
    </row>
    <row r="1037" spans="1:6" s="11" customFormat="1" x14ac:dyDescent="0.25">
      <c r="A1037" s="12"/>
      <c r="B1037" s="13"/>
      <c r="C1037" s="13"/>
      <c r="D1037" s="14"/>
      <c r="E1037" s="14"/>
      <c r="F1037" s="14"/>
    </row>
    <row r="1038" spans="1:6" s="11" customFormat="1" x14ac:dyDescent="0.25">
      <c r="A1038" s="12"/>
      <c r="B1038" s="13"/>
      <c r="C1038" s="13"/>
      <c r="D1038" s="14"/>
      <c r="E1038" s="14"/>
      <c r="F1038" s="14"/>
    </row>
    <row r="1039" spans="1:6" s="11" customFormat="1" x14ac:dyDescent="0.25">
      <c r="A1039" s="12"/>
      <c r="B1039" s="13"/>
      <c r="C1039" s="13"/>
      <c r="D1039" s="14"/>
      <c r="E1039" s="14"/>
      <c r="F1039" s="14"/>
    </row>
    <row r="1040" spans="1:6" s="11" customFormat="1" x14ac:dyDescent="0.25">
      <c r="A1040" s="12"/>
      <c r="B1040" s="13"/>
      <c r="C1040" s="13"/>
      <c r="D1040" s="14"/>
      <c r="E1040" s="14"/>
      <c r="F1040" s="14"/>
    </row>
    <row r="1041" spans="1:6" s="11" customFormat="1" x14ac:dyDescent="0.25">
      <c r="A1041" s="12"/>
      <c r="B1041" s="13"/>
      <c r="C1041" s="13"/>
      <c r="D1041" s="14"/>
      <c r="E1041" s="14"/>
      <c r="F1041" s="14"/>
    </row>
    <row r="1042" spans="1:6" s="11" customFormat="1" x14ac:dyDescent="0.25">
      <c r="A1042" s="12"/>
      <c r="B1042" s="13"/>
      <c r="C1042" s="13"/>
      <c r="D1042" s="14"/>
      <c r="E1042" s="14"/>
      <c r="F1042" s="14"/>
    </row>
    <row r="1043" spans="1:6" s="11" customFormat="1" x14ac:dyDescent="0.25">
      <c r="A1043" s="12"/>
      <c r="B1043" s="13"/>
      <c r="C1043" s="13"/>
      <c r="D1043" s="14"/>
      <c r="E1043" s="14"/>
      <c r="F1043" s="14"/>
    </row>
    <row r="1044" spans="1:6" s="11" customFormat="1" x14ac:dyDescent="0.25">
      <c r="A1044" s="12"/>
      <c r="B1044" s="13"/>
      <c r="C1044" s="13"/>
      <c r="D1044" s="14"/>
      <c r="E1044" s="14"/>
      <c r="F1044" s="14"/>
    </row>
    <row r="1045" spans="1:6" s="11" customFormat="1" x14ac:dyDescent="0.25">
      <c r="A1045" s="12"/>
      <c r="B1045" s="13"/>
      <c r="C1045" s="13"/>
      <c r="D1045" s="14"/>
      <c r="E1045" s="14"/>
      <c r="F1045" s="14"/>
    </row>
    <row r="1046" spans="1:6" s="11" customFormat="1" x14ac:dyDescent="0.25">
      <c r="A1046" s="12"/>
      <c r="B1046" s="13"/>
      <c r="C1046" s="13"/>
      <c r="D1046" s="14"/>
      <c r="E1046" s="14"/>
      <c r="F1046" s="14"/>
    </row>
    <row r="1047" spans="1:6" s="11" customFormat="1" x14ac:dyDescent="0.25">
      <c r="A1047" s="12"/>
      <c r="B1047" s="13"/>
      <c r="C1047" s="13"/>
      <c r="D1047" s="14"/>
      <c r="E1047" s="14"/>
      <c r="F1047" s="14"/>
    </row>
    <row r="1048" spans="1:6" s="11" customFormat="1" x14ac:dyDescent="0.25">
      <c r="A1048" s="12"/>
      <c r="B1048" s="13"/>
      <c r="C1048" s="13"/>
      <c r="D1048" s="14"/>
      <c r="E1048" s="14"/>
      <c r="F1048" s="14"/>
    </row>
    <row r="1049" spans="1:6" s="11" customFormat="1" x14ac:dyDescent="0.25">
      <c r="A1049" s="12"/>
      <c r="B1049" s="13"/>
      <c r="C1049" s="13"/>
      <c r="D1049" s="14"/>
      <c r="E1049" s="14"/>
      <c r="F1049" s="14"/>
    </row>
    <row r="1050" spans="1:6" s="11" customFormat="1" x14ac:dyDescent="0.25">
      <c r="A1050" s="12"/>
      <c r="B1050" s="13"/>
      <c r="C1050" s="13"/>
      <c r="D1050" s="14"/>
      <c r="E1050" s="14"/>
      <c r="F1050" s="14"/>
    </row>
    <row r="1051" spans="1:6" s="11" customFormat="1" x14ac:dyDescent="0.25">
      <c r="A1051" s="12"/>
      <c r="B1051" s="13"/>
      <c r="C1051" s="13"/>
      <c r="D1051" s="14"/>
      <c r="E1051" s="14"/>
      <c r="F1051" s="14"/>
    </row>
    <row r="1052" spans="1:6" s="11" customFormat="1" x14ac:dyDescent="0.25">
      <c r="A1052" s="12"/>
      <c r="B1052" s="13"/>
      <c r="C1052" s="13"/>
      <c r="D1052" s="14"/>
      <c r="E1052" s="14"/>
      <c r="F1052" s="14"/>
    </row>
    <row r="1053" spans="1:6" s="11" customFormat="1" x14ac:dyDescent="0.25">
      <c r="A1053" s="12"/>
      <c r="B1053" s="13"/>
      <c r="C1053" s="13"/>
      <c r="D1053" s="14"/>
      <c r="E1053" s="14"/>
      <c r="F1053" s="14"/>
    </row>
    <row r="1054" spans="1:6" s="11" customFormat="1" x14ac:dyDescent="0.25">
      <c r="A1054" s="12"/>
      <c r="B1054" s="13"/>
      <c r="C1054" s="13"/>
      <c r="D1054" s="14"/>
      <c r="E1054" s="14"/>
      <c r="F1054" s="14"/>
    </row>
    <row r="1055" spans="1:6" s="11" customFormat="1" x14ac:dyDescent="0.25">
      <c r="A1055" s="12"/>
      <c r="B1055" s="13"/>
      <c r="C1055" s="13"/>
      <c r="D1055" s="14"/>
      <c r="E1055" s="14"/>
      <c r="F1055" s="14"/>
    </row>
    <row r="1056" spans="1:6" s="11" customFormat="1" x14ac:dyDescent="0.25">
      <c r="A1056" s="12"/>
      <c r="B1056" s="13"/>
      <c r="C1056" s="13"/>
      <c r="D1056" s="14"/>
      <c r="E1056" s="14"/>
      <c r="F1056" s="14"/>
    </row>
    <row r="1057" spans="1:6" s="11" customFormat="1" x14ac:dyDescent="0.25">
      <c r="A1057" s="12"/>
      <c r="B1057" s="13"/>
      <c r="C1057" s="13"/>
      <c r="D1057" s="14"/>
      <c r="E1057" s="14"/>
      <c r="F1057" s="14"/>
    </row>
    <row r="1058" spans="1:6" s="11" customFormat="1" x14ac:dyDescent="0.25">
      <c r="A1058" s="12"/>
      <c r="B1058" s="13"/>
      <c r="C1058" s="13"/>
      <c r="D1058" s="14"/>
      <c r="E1058" s="14"/>
      <c r="F1058" s="14"/>
    </row>
    <row r="1059" spans="1:6" s="11" customFormat="1" x14ac:dyDescent="0.25">
      <c r="A1059" s="12"/>
      <c r="B1059" s="13"/>
      <c r="C1059" s="13"/>
      <c r="D1059" s="14"/>
      <c r="E1059" s="14"/>
      <c r="F1059" s="14"/>
    </row>
    <row r="1060" spans="1:6" s="11" customFormat="1" x14ac:dyDescent="0.25">
      <c r="A1060" s="12"/>
      <c r="B1060" s="13"/>
      <c r="C1060" s="13"/>
      <c r="D1060" s="14"/>
      <c r="E1060" s="14"/>
      <c r="F1060" s="14"/>
    </row>
    <row r="1061" spans="1:6" s="11" customFormat="1" x14ac:dyDescent="0.25">
      <c r="A1061" s="12"/>
      <c r="B1061" s="13"/>
      <c r="C1061" s="13"/>
      <c r="D1061" s="14"/>
      <c r="E1061" s="14"/>
      <c r="F1061" s="14"/>
    </row>
    <row r="1062" spans="1:6" s="11" customFormat="1" x14ac:dyDescent="0.25">
      <c r="A1062" s="12"/>
      <c r="B1062" s="13"/>
      <c r="C1062" s="13"/>
      <c r="D1062" s="14"/>
      <c r="E1062" s="14"/>
      <c r="F1062" s="14"/>
    </row>
    <row r="1063" spans="1:6" s="11" customFormat="1" x14ac:dyDescent="0.25">
      <c r="A1063" s="12"/>
      <c r="B1063" s="13"/>
      <c r="C1063" s="13"/>
      <c r="D1063" s="14"/>
      <c r="E1063" s="14"/>
      <c r="F1063" s="14"/>
    </row>
    <row r="1064" spans="1:6" s="11" customFormat="1" x14ac:dyDescent="0.25">
      <c r="A1064" s="12"/>
      <c r="B1064" s="13"/>
      <c r="C1064" s="13"/>
      <c r="D1064" s="14"/>
      <c r="E1064" s="14"/>
      <c r="F1064" s="14"/>
    </row>
    <row r="1065" spans="1:6" s="11" customFormat="1" x14ac:dyDescent="0.25">
      <c r="A1065" s="12"/>
      <c r="B1065" s="13"/>
      <c r="C1065" s="13"/>
      <c r="D1065" s="14"/>
      <c r="E1065" s="14"/>
      <c r="F1065" s="14"/>
    </row>
    <row r="1066" spans="1:6" s="11" customFormat="1" x14ac:dyDescent="0.25">
      <c r="A1066" s="12"/>
      <c r="B1066" s="13"/>
      <c r="C1066" s="13"/>
      <c r="D1066" s="14"/>
      <c r="E1066" s="14"/>
      <c r="F1066" s="14"/>
    </row>
    <row r="1067" spans="1:6" s="11" customFormat="1" x14ac:dyDescent="0.25">
      <c r="A1067" s="12"/>
      <c r="B1067" s="13"/>
      <c r="C1067" s="13"/>
      <c r="D1067" s="14"/>
      <c r="E1067" s="14"/>
      <c r="F1067" s="14"/>
    </row>
    <row r="1068" spans="1:6" s="11" customFormat="1" x14ac:dyDescent="0.25">
      <c r="A1068" s="12"/>
      <c r="B1068" s="13"/>
      <c r="C1068" s="13"/>
      <c r="D1068" s="14"/>
      <c r="E1068" s="14"/>
      <c r="F1068" s="14"/>
    </row>
    <row r="1069" spans="1:6" s="11" customFormat="1" x14ac:dyDescent="0.25">
      <c r="A1069" s="12"/>
      <c r="B1069" s="13"/>
      <c r="C1069" s="13"/>
      <c r="D1069" s="14"/>
      <c r="E1069" s="14"/>
      <c r="F1069" s="14"/>
    </row>
    <row r="1070" spans="1:6" s="11" customFormat="1" x14ac:dyDescent="0.25">
      <c r="A1070" s="12"/>
      <c r="B1070" s="13"/>
      <c r="C1070" s="13"/>
      <c r="D1070" s="14"/>
      <c r="E1070" s="14"/>
      <c r="F1070" s="14"/>
    </row>
    <row r="1071" spans="1:6" s="11" customFormat="1" x14ac:dyDescent="0.25">
      <c r="A1071" s="12"/>
      <c r="B1071" s="13"/>
      <c r="C1071" s="13"/>
      <c r="D1071" s="14"/>
      <c r="E1071" s="14"/>
      <c r="F1071" s="14"/>
    </row>
    <row r="1072" spans="1:6" s="11" customFormat="1" x14ac:dyDescent="0.25">
      <c r="A1072" s="12"/>
      <c r="B1072" s="13"/>
      <c r="C1072" s="13"/>
      <c r="D1072" s="14"/>
      <c r="E1072" s="14"/>
      <c r="F1072" s="14"/>
    </row>
    <row r="1073" spans="1:6" s="11" customFormat="1" x14ac:dyDescent="0.25">
      <c r="A1073" s="12"/>
      <c r="B1073" s="13"/>
      <c r="C1073" s="13"/>
      <c r="D1073" s="14"/>
      <c r="E1073" s="14"/>
      <c r="F1073" s="14"/>
    </row>
    <row r="1074" spans="1:6" s="11" customFormat="1" x14ac:dyDescent="0.25">
      <c r="A1074" s="12"/>
      <c r="B1074" s="13"/>
      <c r="C1074" s="13"/>
      <c r="D1074" s="14"/>
      <c r="E1074" s="14"/>
      <c r="F1074" s="14"/>
    </row>
    <row r="1075" spans="1:6" s="11" customFormat="1" x14ac:dyDescent="0.25">
      <c r="A1075" s="12"/>
      <c r="B1075" s="13"/>
      <c r="C1075" s="13"/>
      <c r="D1075" s="14"/>
      <c r="E1075" s="14"/>
      <c r="F1075" s="14"/>
    </row>
    <row r="1076" spans="1:6" s="11" customFormat="1" x14ac:dyDescent="0.25">
      <c r="A1076" s="12"/>
      <c r="B1076" s="13"/>
      <c r="C1076" s="13"/>
      <c r="D1076" s="14"/>
      <c r="E1076" s="14"/>
      <c r="F1076" s="14"/>
    </row>
    <row r="1077" spans="1:6" s="11" customFormat="1" x14ac:dyDescent="0.25">
      <c r="A1077" s="12"/>
      <c r="B1077" s="13"/>
      <c r="C1077" s="13"/>
      <c r="D1077" s="14"/>
      <c r="E1077" s="14"/>
      <c r="F1077" s="14"/>
    </row>
    <row r="1078" spans="1:6" s="11" customFormat="1" x14ac:dyDescent="0.25">
      <c r="A1078" s="12"/>
      <c r="B1078" s="13"/>
      <c r="C1078" s="13"/>
      <c r="D1078" s="14"/>
      <c r="E1078" s="14"/>
      <c r="F1078" s="14"/>
    </row>
    <row r="1079" spans="1:6" s="11" customFormat="1" x14ac:dyDescent="0.25">
      <c r="A1079" s="12"/>
      <c r="B1079" s="13"/>
      <c r="C1079" s="13"/>
      <c r="D1079" s="14"/>
      <c r="E1079" s="14"/>
      <c r="F1079" s="14"/>
    </row>
    <row r="1080" spans="1:6" s="11" customFormat="1" x14ac:dyDescent="0.25">
      <c r="A1080" s="12"/>
      <c r="B1080" s="13"/>
      <c r="C1080" s="13"/>
      <c r="D1080" s="14"/>
      <c r="E1080" s="14"/>
      <c r="F1080" s="14"/>
    </row>
    <row r="1081" spans="1:6" s="11" customFormat="1" x14ac:dyDescent="0.25">
      <c r="A1081" s="12"/>
      <c r="B1081" s="13"/>
      <c r="C1081" s="13"/>
      <c r="D1081" s="14"/>
      <c r="E1081" s="14"/>
      <c r="F1081" s="14"/>
    </row>
    <row r="1082" spans="1:6" s="11" customFormat="1" x14ac:dyDescent="0.25">
      <c r="A1082" s="12"/>
      <c r="B1082" s="13"/>
      <c r="C1082" s="13"/>
      <c r="D1082" s="14"/>
      <c r="E1082" s="14"/>
      <c r="F1082" s="14"/>
    </row>
    <row r="1083" spans="1:6" s="11" customFormat="1" x14ac:dyDescent="0.25">
      <c r="A1083" s="12"/>
      <c r="B1083" s="13"/>
      <c r="C1083" s="13"/>
      <c r="D1083" s="14"/>
      <c r="E1083" s="14"/>
      <c r="F1083" s="14"/>
    </row>
    <row r="1084" spans="1:6" s="11" customFormat="1" x14ac:dyDescent="0.25">
      <c r="A1084" s="12"/>
      <c r="B1084" s="13"/>
      <c r="C1084" s="13"/>
      <c r="D1084" s="14"/>
      <c r="E1084" s="14"/>
      <c r="F1084" s="14"/>
    </row>
    <row r="1085" spans="1:6" s="11" customFormat="1" x14ac:dyDescent="0.25">
      <c r="A1085" s="12"/>
      <c r="B1085" s="13"/>
      <c r="C1085" s="13"/>
      <c r="D1085" s="14"/>
      <c r="E1085" s="14"/>
      <c r="F1085" s="14"/>
    </row>
    <row r="1086" spans="1:6" s="11" customFormat="1" x14ac:dyDescent="0.25">
      <c r="A1086" s="12"/>
      <c r="B1086" s="13"/>
      <c r="C1086" s="13"/>
      <c r="D1086" s="14"/>
      <c r="E1086" s="14"/>
      <c r="F1086" s="14"/>
    </row>
    <row r="1087" spans="1:6" s="11" customFormat="1" x14ac:dyDescent="0.25">
      <c r="A1087" s="12"/>
      <c r="B1087" s="13"/>
      <c r="C1087" s="13"/>
      <c r="D1087" s="14"/>
      <c r="E1087" s="14"/>
      <c r="F1087" s="14"/>
    </row>
    <row r="1088" spans="1:6" s="11" customFormat="1" x14ac:dyDescent="0.25">
      <c r="A1088" s="12"/>
      <c r="B1088" s="13"/>
      <c r="C1088" s="13"/>
      <c r="D1088" s="14"/>
      <c r="E1088" s="14"/>
      <c r="F1088" s="14"/>
    </row>
    <row r="1089" spans="1:6" s="11" customFormat="1" x14ac:dyDescent="0.25">
      <c r="A1089" s="12"/>
      <c r="B1089" s="13"/>
      <c r="C1089" s="13"/>
      <c r="D1089" s="14"/>
      <c r="E1089" s="14"/>
      <c r="F1089" s="14"/>
    </row>
    <row r="1090" spans="1:6" s="11" customFormat="1" x14ac:dyDescent="0.25">
      <c r="A1090" s="12"/>
      <c r="B1090" s="13"/>
      <c r="C1090" s="13"/>
      <c r="D1090" s="14"/>
      <c r="E1090" s="14"/>
      <c r="F1090" s="14"/>
    </row>
    <row r="1091" spans="1:6" s="11" customFormat="1" x14ac:dyDescent="0.25">
      <c r="A1091" s="12"/>
      <c r="B1091" s="13"/>
      <c r="C1091" s="13"/>
      <c r="D1091" s="14"/>
      <c r="E1091" s="14"/>
      <c r="F1091" s="14"/>
    </row>
    <row r="1092" spans="1:6" s="11" customFormat="1" x14ac:dyDescent="0.25">
      <c r="A1092" s="12"/>
      <c r="B1092" s="13"/>
      <c r="C1092" s="13"/>
      <c r="D1092" s="14"/>
      <c r="E1092" s="14"/>
      <c r="F1092" s="14"/>
    </row>
    <row r="1093" spans="1:6" s="11" customFormat="1" x14ac:dyDescent="0.25">
      <c r="A1093" s="12"/>
      <c r="B1093" s="13"/>
      <c r="C1093" s="13"/>
      <c r="D1093" s="14"/>
      <c r="E1093" s="14"/>
      <c r="F1093" s="14"/>
    </row>
    <row r="1094" spans="1:6" s="11" customFormat="1" x14ac:dyDescent="0.25">
      <c r="A1094" s="12"/>
      <c r="B1094" s="13"/>
      <c r="C1094" s="13"/>
      <c r="D1094" s="14"/>
      <c r="E1094" s="14"/>
      <c r="F1094" s="14"/>
    </row>
    <row r="1095" spans="1:6" s="11" customFormat="1" x14ac:dyDescent="0.25">
      <c r="A1095" s="12"/>
      <c r="B1095" s="13"/>
      <c r="C1095" s="13"/>
      <c r="D1095" s="14"/>
      <c r="E1095" s="14"/>
      <c r="F1095" s="14"/>
    </row>
    <row r="1096" spans="1:6" s="11" customFormat="1" x14ac:dyDescent="0.25">
      <c r="A1096" s="12"/>
      <c r="B1096" s="13"/>
      <c r="C1096" s="13"/>
      <c r="D1096" s="14"/>
      <c r="E1096" s="14"/>
      <c r="F1096" s="14"/>
    </row>
    <row r="1097" spans="1:6" s="11" customFormat="1" x14ac:dyDescent="0.25">
      <c r="A1097" s="12"/>
      <c r="B1097" s="13"/>
      <c r="C1097" s="13"/>
      <c r="D1097" s="14"/>
      <c r="E1097" s="14"/>
      <c r="F1097" s="14"/>
    </row>
    <row r="1098" spans="1:6" s="11" customFormat="1" x14ac:dyDescent="0.25">
      <c r="A1098" s="12"/>
      <c r="B1098" s="13"/>
      <c r="C1098" s="13"/>
      <c r="D1098" s="14"/>
      <c r="E1098" s="14"/>
      <c r="F1098" s="14"/>
    </row>
    <row r="1099" spans="1:6" s="11" customFormat="1" x14ac:dyDescent="0.25">
      <c r="A1099" s="12"/>
      <c r="B1099" s="13"/>
      <c r="C1099" s="13"/>
      <c r="D1099" s="14"/>
      <c r="E1099" s="14"/>
      <c r="F1099" s="14"/>
    </row>
    <row r="1100" spans="1:6" s="11" customFormat="1" x14ac:dyDescent="0.25">
      <c r="A1100" s="12"/>
      <c r="B1100" s="13"/>
      <c r="C1100" s="13"/>
      <c r="D1100" s="14"/>
      <c r="E1100" s="14"/>
      <c r="F1100" s="14"/>
    </row>
    <row r="1101" spans="1:6" s="11" customFormat="1" x14ac:dyDescent="0.25">
      <c r="A1101" s="12"/>
      <c r="B1101" s="13"/>
      <c r="C1101" s="13"/>
      <c r="D1101" s="14"/>
      <c r="E1101" s="14"/>
      <c r="F1101" s="14"/>
    </row>
    <row r="1102" spans="1:6" s="11" customFormat="1" x14ac:dyDescent="0.25">
      <c r="A1102" s="12"/>
      <c r="B1102" s="13"/>
      <c r="C1102" s="13"/>
      <c r="D1102" s="14"/>
      <c r="E1102" s="14"/>
      <c r="F1102" s="14"/>
    </row>
    <row r="1103" spans="1:6" s="11" customFormat="1" x14ac:dyDescent="0.25">
      <c r="A1103" s="12"/>
      <c r="B1103" s="13"/>
      <c r="C1103" s="13"/>
      <c r="D1103" s="14"/>
      <c r="E1103" s="14"/>
      <c r="F1103" s="14"/>
    </row>
    <row r="1104" spans="1:6" s="11" customFormat="1" x14ac:dyDescent="0.25">
      <c r="A1104" s="12"/>
      <c r="B1104" s="13"/>
      <c r="C1104" s="13"/>
      <c r="D1104" s="14"/>
      <c r="E1104" s="14"/>
      <c r="F1104" s="14"/>
    </row>
    <row r="1105" spans="1:6" s="11" customFormat="1" x14ac:dyDescent="0.25">
      <c r="A1105" s="12"/>
      <c r="B1105" s="13"/>
      <c r="C1105" s="13"/>
      <c r="D1105" s="14"/>
      <c r="E1105" s="14"/>
      <c r="F1105" s="14"/>
    </row>
    <row r="1106" spans="1:6" s="11" customFormat="1" x14ac:dyDescent="0.25">
      <c r="A1106" s="12"/>
      <c r="B1106" s="13"/>
      <c r="C1106" s="13"/>
      <c r="D1106" s="14"/>
      <c r="E1106" s="14"/>
      <c r="F1106" s="14"/>
    </row>
    <row r="1107" spans="1:6" s="11" customFormat="1" x14ac:dyDescent="0.25">
      <c r="A1107" s="12"/>
      <c r="B1107" s="13"/>
      <c r="C1107" s="13"/>
      <c r="D1107" s="14"/>
      <c r="E1107" s="14"/>
      <c r="F1107" s="14"/>
    </row>
    <row r="1108" spans="1:6" s="11" customFormat="1" x14ac:dyDescent="0.25">
      <c r="A1108" s="12"/>
      <c r="B1108" s="13"/>
      <c r="C1108" s="13"/>
      <c r="D1108" s="14"/>
      <c r="E1108" s="14"/>
      <c r="F1108" s="14"/>
    </row>
    <row r="1109" spans="1:6" s="11" customFormat="1" x14ac:dyDescent="0.25">
      <c r="A1109" s="12"/>
      <c r="B1109" s="13"/>
      <c r="C1109" s="13"/>
      <c r="D1109" s="14"/>
      <c r="E1109" s="14"/>
      <c r="F1109" s="14"/>
    </row>
    <row r="1110" spans="1:6" s="11" customFormat="1" x14ac:dyDescent="0.25">
      <c r="A1110" s="12"/>
      <c r="B1110" s="13"/>
      <c r="C1110" s="13"/>
      <c r="D1110" s="14"/>
      <c r="E1110" s="14"/>
      <c r="F1110" s="14"/>
    </row>
    <row r="1111" spans="1:6" s="11" customFormat="1" x14ac:dyDescent="0.25">
      <c r="A1111" s="12"/>
      <c r="B1111" s="13"/>
      <c r="C1111" s="13"/>
      <c r="D1111" s="14"/>
      <c r="E1111" s="14"/>
      <c r="F1111" s="14"/>
    </row>
    <row r="1112" spans="1:6" s="11" customFormat="1" x14ac:dyDescent="0.25">
      <c r="A1112" s="12"/>
      <c r="B1112" s="13"/>
      <c r="C1112" s="13"/>
      <c r="D1112" s="14"/>
      <c r="E1112" s="14"/>
      <c r="F1112" s="14"/>
    </row>
    <row r="1113" spans="1:6" s="11" customFormat="1" x14ac:dyDescent="0.25">
      <c r="A1113" s="12"/>
      <c r="B1113" s="13"/>
      <c r="C1113" s="13"/>
      <c r="D1113" s="14"/>
      <c r="E1113" s="14"/>
      <c r="F1113" s="14"/>
    </row>
    <row r="1114" spans="1:6" s="11" customFormat="1" x14ac:dyDescent="0.25">
      <c r="A1114" s="12"/>
      <c r="B1114" s="13"/>
      <c r="C1114" s="13"/>
      <c r="D1114" s="14"/>
      <c r="E1114" s="14"/>
      <c r="F1114" s="14"/>
    </row>
    <row r="1115" spans="1:6" s="11" customFormat="1" x14ac:dyDescent="0.25">
      <c r="A1115" s="12"/>
      <c r="B1115" s="13"/>
      <c r="C1115" s="13"/>
      <c r="D1115" s="14"/>
      <c r="E1115" s="14"/>
      <c r="F1115" s="14"/>
    </row>
    <row r="1116" spans="1:6" s="11" customFormat="1" x14ac:dyDescent="0.25">
      <c r="A1116" s="12"/>
      <c r="B1116" s="13"/>
      <c r="C1116" s="13"/>
      <c r="D1116" s="14"/>
      <c r="E1116" s="14"/>
      <c r="F1116" s="14"/>
    </row>
    <row r="1117" spans="1:6" s="11" customFormat="1" x14ac:dyDescent="0.25">
      <c r="A1117" s="12"/>
      <c r="B1117" s="13"/>
      <c r="C1117" s="13"/>
      <c r="D1117" s="14"/>
      <c r="E1117" s="14"/>
      <c r="F1117" s="14"/>
    </row>
    <row r="1118" spans="1:6" s="11" customFormat="1" x14ac:dyDescent="0.25">
      <c r="A1118" s="12"/>
      <c r="B1118" s="13"/>
      <c r="C1118" s="13"/>
      <c r="D1118" s="14"/>
      <c r="E1118" s="14"/>
      <c r="F1118" s="14"/>
    </row>
    <row r="1119" spans="1:6" s="11" customFormat="1" x14ac:dyDescent="0.25">
      <c r="A1119" s="12"/>
      <c r="B1119" s="13"/>
      <c r="C1119" s="13"/>
      <c r="D1119" s="14"/>
      <c r="E1119" s="14"/>
      <c r="F1119" s="14"/>
    </row>
    <row r="1120" spans="1:6" s="11" customFormat="1" x14ac:dyDescent="0.25">
      <c r="A1120" s="12"/>
      <c r="B1120" s="13"/>
      <c r="C1120" s="13"/>
      <c r="D1120" s="14"/>
      <c r="E1120" s="14"/>
      <c r="F1120" s="14"/>
    </row>
    <row r="1121" spans="1:6" s="11" customFormat="1" x14ac:dyDescent="0.25">
      <c r="A1121" s="12"/>
      <c r="B1121" s="13"/>
      <c r="C1121" s="13"/>
      <c r="D1121" s="14"/>
      <c r="E1121" s="14"/>
      <c r="F1121" s="14"/>
    </row>
    <row r="1122" spans="1:6" s="11" customFormat="1" x14ac:dyDescent="0.25">
      <c r="A1122" s="12"/>
      <c r="B1122" s="13"/>
      <c r="C1122" s="13"/>
      <c r="D1122" s="14"/>
      <c r="E1122" s="14"/>
      <c r="F1122" s="14"/>
    </row>
    <row r="1123" spans="1:6" s="11" customFormat="1" x14ac:dyDescent="0.25">
      <c r="A1123" s="12"/>
      <c r="B1123" s="13"/>
      <c r="C1123" s="13"/>
      <c r="D1123" s="14"/>
      <c r="E1123" s="14"/>
      <c r="F1123" s="14"/>
    </row>
    <row r="1124" spans="1:6" s="11" customFormat="1" x14ac:dyDescent="0.25">
      <c r="A1124" s="12"/>
      <c r="B1124" s="13"/>
      <c r="C1124" s="13"/>
      <c r="D1124" s="14"/>
      <c r="E1124" s="14"/>
      <c r="F1124" s="14"/>
    </row>
    <row r="1125" spans="1:6" s="11" customFormat="1" x14ac:dyDescent="0.25">
      <c r="A1125" s="12"/>
      <c r="B1125" s="13"/>
      <c r="C1125" s="13"/>
      <c r="D1125" s="14"/>
      <c r="E1125" s="14"/>
      <c r="F1125" s="14"/>
    </row>
    <row r="1126" spans="1:6" s="11" customFormat="1" x14ac:dyDescent="0.25">
      <c r="A1126" s="12"/>
      <c r="B1126" s="13"/>
      <c r="C1126" s="13"/>
      <c r="D1126" s="14"/>
      <c r="E1126" s="14"/>
      <c r="F1126" s="14"/>
    </row>
    <row r="1127" spans="1:6" s="11" customFormat="1" x14ac:dyDescent="0.25">
      <c r="A1127" s="12"/>
      <c r="B1127" s="13"/>
      <c r="C1127" s="13"/>
      <c r="D1127" s="14"/>
      <c r="E1127" s="14"/>
      <c r="F1127" s="14"/>
    </row>
    <row r="1128" spans="1:6" s="11" customFormat="1" x14ac:dyDescent="0.25">
      <c r="A1128" s="12"/>
      <c r="B1128" s="13"/>
      <c r="C1128" s="13"/>
      <c r="D1128" s="14"/>
      <c r="E1128" s="14"/>
      <c r="F1128" s="14"/>
    </row>
    <row r="1129" spans="1:6" s="11" customFormat="1" x14ac:dyDescent="0.25">
      <c r="A1129" s="12"/>
      <c r="B1129" s="13"/>
      <c r="C1129" s="13"/>
      <c r="D1129" s="14"/>
      <c r="E1129" s="14"/>
      <c r="F1129" s="14"/>
    </row>
    <row r="1130" spans="1:6" s="11" customFormat="1" x14ac:dyDescent="0.25">
      <c r="A1130" s="12"/>
      <c r="B1130" s="13"/>
      <c r="C1130" s="13"/>
      <c r="D1130" s="14"/>
      <c r="E1130" s="14"/>
      <c r="F1130" s="14"/>
    </row>
    <row r="1131" spans="1:6" s="11" customFormat="1" x14ac:dyDescent="0.25">
      <c r="A1131" s="12"/>
      <c r="B1131" s="13"/>
      <c r="C1131" s="13"/>
      <c r="D1131" s="14"/>
      <c r="E1131" s="14"/>
      <c r="F1131" s="14"/>
    </row>
    <row r="1132" spans="1:6" s="11" customFormat="1" x14ac:dyDescent="0.25">
      <c r="A1132" s="12"/>
      <c r="B1132" s="13"/>
      <c r="C1132" s="13"/>
      <c r="D1132" s="14"/>
      <c r="E1132" s="14"/>
      <c r="F1132" s="14"/>
    </row>
    <row r="1133" spans="1:6" s="11" customFormat="1" x14ac:dyDescent="0.25">
      <c r="A1133" s="12"/>
      <c r="B1133" s="13"/>
      <c r="C1133" s="13"/>
      <c r="D1133" s="14"/>
      <c r="E1133" s="14"/>
      <c r="F1133" s="14"/>
    </row>
    <row r="1134" spans="1:6" s="11" customFormat="1" x14ac:dyDescent="0.25">
      <c r="A1134" s="12"/>
      <c r="B1134" s="13"/>
      <c r="C1134" s="13"/>
      <c r="D1134" s="14"/>
      <c r="E1134" s="14"/>
      <c r="F1134" s="14"/>
    </row>
    <row r="1135" spans="1:6" s="11" customFormat="1" x14ac:dyDescent="0.25">
      <c r="A1135" s="12"/>
      <c r="B1135" s="13"/>
      <c r="C1135" s="13"/>
      <c r="D1135" s="14"/>
      <c r="E1135" s="14"/>
      <c r="F1135" s="14"/>
    </row>
    <row r="1136" spans="1:6" s="11" customFormat="1" x14ac:dyDescent="0.25">
      <c r="A1136" s="12"/>
      <c r="B1136" s="13"/>
      <c r="C1136" s="13"/>
      <c r="D1136" s="14"/>
      <c r="E1136" s="14"/>
      <c r="F1136" s="14"/>
    </row>
    <row r="1137" spans="1:6" s="11" customFormat="1" x14ac:dyDescent="0.25">
      <c r="A1137" s="12"/>
      <c r="B1137" s="13"/>
      <c r="C1137" s="13"/>
      <c r="D1137" s="14"/>
      <c r="E1137" s="14"/>
      <c r="F1137" s="14"/>
    </row>
    <row r="1138" spans="1:6" s="11" customFormat="1" x14ac:dyDescent="0.25">
      <c r="A1138" s="12"/>
      <c r="B1138" s="13"/>
      <c r="C1138" s="13"/>
      <c r="D1138" s="14"/>
      <c r="E1138" s="14"/>
      <c r="F1138" s="14"/>
    </row>
    <row r="1139" spans="1:6" s="11" customFormat="1" x14ac:dyDescent="0.25">
      <c r="A1139" s="12"/>
      <c r="B1139" s="13"/>
      <c r="C1139" s="13"/>
      <c r="D1139" s="14"/>
      <c r="E1139" s="14"/>
      <c r="F1139" s="14"/>
    </row>
    <row r="1140" spans="1:6" s="11" customFormat="1" x14ac:dyDescent="0.25">
      <c r="A1140" s="12"/>
      <c r="B1140" s="13"/>
      <c r="C1140" s="13"/>
      <c r="D1140" s="14"/>
      <c r="E1140" s="14"/>
      <c r="F1140" s="14"/>
    </row>
    <row r="1141" spans="1:6" s="11" customFormat="1" x14ac:dyDescent="0.25">
      <c r="A1141" s="12"/>
      <c r="B1141" s="13"/>
      <c r="C1141" s="13"/>
      <c r="D1141" s="14"/>
      <c r="E1141" s="14"/>
      <c r="F1141" s="14"/>
    </row>
    <row r="1142" spans="1:6" s="11" customFormat="1" x14ac:dyDescent="0.25">
      <c r="A1142" s="12"/>
      <c r="B1142" s="13"/>
      <c r="C1142" s="13"/>
      <c r="D1142" s="14"/>
      <c r="E1142" s="14"/>
      <c r="F1142" s="14"/>
    </row>
    <row r="1143" spans="1:6" s="11" customFormat="1" x14ac:dyDescent="0.25">
      <c r="A1143" s="12"/>
      <c r="B1143" s="13"/>
      <c r="C1143" s="13"/>
      <c r="D1143" s="14"/>
      <c r="E1143" s="14"/>
      <c r="F1143" s="14"/>
    </row>
    <row r="1144" spans="1:6" s="11" customFormat="1" x14ac:dyDescent="0.25">
      <c r="A1144" s="12"/>
      <c r="B1144" s="13"/>
      <c r="C1144" s="13"/>
      <c r="D1144" s="14"/>
      <c r="E1144" s="14"/>
      <c r="F1144" s="14"/>
    </row>
    <row r="1145" spans="1:6" s="11" customFormat="1" x14ac:dyDescent="0.25">
      <c r="A1145" s="12"/>
      <c r="B1145" s="13"/>
      <c r="C1145" s="13"/>
      <c r="D1145" s="14"/>
      <c r="E1145" s="14"/>
      <c r="F1145" s="14"/>
    </row>
    <row r="1146" spans="1:6" s="11" customFormat="1" x14ac:dyDescent="0.25">
      <c r="A1146" s="12"/>
      <c r="B1146" s="13"/>
      <c r="C1146" s="13"/>
      <c r="D1146" s="14"/>
      <c r="E1146" s="14"/>
      <c r="F1146" s="14"/>
    </row>
    <row r="1147" spans="1:6" s="11" customFormat="1" x14ac:dyDescent="0.25">
      <c r="A1147" s="12"/>
      <c r="B1147" s="13"/>
      <c r="C1147" s="13"/>
      <c r="D1147" s="14"/>
      <c r="E1147" s="14"/>
      <c r="F1147" s="14"/>
    </row>
    <row r="1148" spans="1:6" s="11" customFormat="1" x14ac:dyDescent="0.25">
      <c r="A1148" s="12"/>
      <c r="B1148" s="13"/>
      <c r="C1148" s="13"/>
      <c r="D1148" s="14"/>
      <c r="E1148" s="14"/>
      <c r="F1148" s="14"/>
    </row>
    <row r="1149" spans="1:6" s="11" customFormat="1" x14ac:dyDescent="0.25">
      <c r="A1149" s="12"/>
      <c r="B1149" s="13"/>
      <c r="C1149" s="13"/>
      <c r="D1149" s="14"/>
      <c r="E1149" s="14"/>
      <c r="F1149" s="14"/>
    </row>
    <row r="1150" spans="1:6" s="11" customFormat="1" x14ac:dyDescent="0.25">
      <c r="A1150" s="12"/>
      <c r="B1150" s="13"/>
      <c r="C1150" s="13"/>
      <c r="D1150" s="14"/>
      <c r="E1150" s="14"/>
      <c r="F1150" s="14"/>
    </row>
    <row r="1151" spans="1:6" s="11" customFormat="1" x14ac:dyDescent="0.25">
      <c r="A1151" s="12"/>
      <c r="B1151" s="13"/>
      <c r="C1151" s="13"/>
      <c r="D1151" s="14"/>
      <c r="E1151" s="14"/>
      <c r="F1151" s="14"/>
    </row>
    <row r="1152" spans="1:6" s="11" customFormat="1" x14ac:dyDescent="0.25">
      <c r="A1152" s="12"/>
      <c r="B1152" s="13"/>
      <c r="C1152" s="13"/>
      <c r="D1152" s="14"/>
      <c r="E1152" s="14"/>
      <c r="F1152" s="14"/>
    </row>
    <row r="1153" spans="1:6" s="11" customFormat="1" x14ac:dyDescent="0.25">
      <c r="A1153" s="12"/>
      <c r="B1153" s="13"/>
      <c r="C1153" s="13"/>
      <c r="D1153" s="14"/>
      <c r="E1153" s="14"/>
      <c r="F1153" s="14"/>
    </row>
    <row r="1154" spans="1:6" s="11" customFormat="1" x14ac:dyDescent="0.25">
      <c r="A1154" s="12"/>
      <c r="B1154" s="13"/>
      <c r="C1154" s="13"/>
      <c r="D1154" s="14"/>
      <c r="E1154" s="14"/>
      <c r="F1154" s="14"/>
    </row>
    <row r="1155" spans="1:6" s="11" customFormat="1" x14ac:dyDescent="0.25">
      <c r="A1155" s="12"/>
      <c r="B1155" s="13"/>
      <c r="C1155" s="13"/>
      <c r="D1155" s="14"/>
      <c r="E1155" s="14"/>
      <c r="F1155" s="14"/>
    </row>
    <row r="1156" spans="1:6" s="11" customFormat="1" x14ac:dyDescent="0.25">
      <c r="A1156" s="12"/>
      <c r="B1156" s="13"/>
      <c r="C1156" s="13"/>
      <c r="D1156" s="14"/>
      <c r="E1156" s="14"/>
      <c r="F1156" s="14"/>
    </row>
    <row r="1157" spans="1:6" s="11" customFormat="1" x14ac:dyDescent="0.25">
      <c r="A1157" s="12"/>
      <c r="B1157" s="13"/>
      <c r="C1157" s="13"/>
      <c r="D1157" s="14"/>
      <c r="E1157" s="14"/>
      <c r="F1157" s="14"/>
    </row>
    <row r="1158" spans="1:6" s="11" customFormat="1" x14ac:dyDescent="0.25">
      <c r="A1158" s="12"/>
      <c r="B1158" s="13"/>
      <c r="C1158" s="13"/>
      <c r="D1158" s="14"/>
      <c r="E1158" s="14"/>
      <c r="F1158" s="14"/>
    </row>
    <row r="1159" spans="1:6" s="11" customFormat="1" x14ac:dyDescent="0.25">
      <c r="A1159" s="12"/>
      <c r="B1159" s="13"/>
      <c r="C1159" s="13"/>
      <c r="D1159" s="14"/>
      <c r="E1159" s="14"/>
      <c r="F1159" s="14"/>
    </row>
    <row r="1160" spans="1:6" s="11" customFormat="1" x14ac:dyDescent="0.25">
      <c r="A1160" s="12"/>
      <c r="B1160" s="13"/>
      <c r="C1160" s="13"/>
      <c r="D1160" s="14"/>
      <c r="E1160" s="14"/>
      <c r="F1160" s="14"/>
    </row>
    <row r="1161" spans="1:6" s="11" customFormat="1" x14ac:dyDescent="0.25">
      <c r="A1161" s="12"/>
      <c r="B1161" s="13"/>
      <c r="C1161" s="13"/>
      <c r="D1161" s="14"/>
      <c r="E1161" s="14"/>
      <c r="F1161" s="14"/>
    </row>
    <row r="1162" spans="1:6" s="11" customFormat="1" x14ac:dyDescent="0.25">
      <c r="A1162" s="12"/>
      <c r="B1162" s="13"/>
      <c r="C1162" s="13"/>
      <c r="D1162" s="14"/>
      <c r="E1162" s="14"/>
      <c r="F1162" s="14"/>
    </row>
    <row r="1163" spans="1:6" s="11" customFormat="1" x14ac:dyDescent="0.25">
      <c r="A1163" s="12"/>
      <c r="B1163" s="13"/>
      <c r="C1163" s="13"/>
      <c r="D1163" s="14"/>
      <c r="E1163" s="14"/>
      <c r="F1163" s="14"/>
    </row>
    <row r="1164" spans="1:6" s="11" customFormat="1" x14ac:dyDescent="0.25">
      <c r="A1164" s="12"/>
      <c r="B1164" s="13"/>
      <c r="C1164" s="13"/>
      <c r="D1164" s="14"/>
      <c r="E1164" s="14"/>
      <c r="F1164" s="14"/>
    </row>
    <row r="1165" spans="1:6" s="11" customFormat="1" x14ac:dyDescent="0.25">
      <c r="A1165" s="12"/>
      <c r="B1165" s="13"/>
      <c r="C1165" s="13"/>
      <c r="D1165" s="14"/>
      <c r="E1165" s="14"/>
      <c r="F1165" s="14"/>
    </row>
    <row r="1166" spans="1:6" s="11" customFormat="1" x14ac:dyDescent="0.25">
      <c r="A1166" s="12"/>
      <c r="B1166" s="13"/>
      <c r="C1166" s="13"/>
      <c r="D1166" s="14"/>
      <c r="E1166" s="14"/>
      <c r="F1166" s="14"/>
    </row>
    <row r="1167" spans="1:6" s="11" customFormat="1" x14ac:dyDescent="0.25">
      <c r="A1167" s="12"/>
      <c r="B1167" s="13"/>
      <c r="C1167" s="13"/>
      <c r="D1167" s="14"/>
      <c r="E1167" s="14"/>
      <c r="F1167" s="14"/>
    </row>
    <row r="1168" spans="1:6" s="11" customFormat="1" x14ac:dyDescent="0.25">
      <c r="A1168" s="12"/>
      <c r="B1168" s="13"/>
      <c r="C1168" s="13"/>
      <c r="D1168" s="14"/>
      <c r="E1168" s="14"/>
      <c r="F1168" s="14"/>
    </row>
    <row r="1169" spans="1:6" s="11" customFormat="1" x14ac:dyDescent="0.25">
      <c r="A1169" s="12"/>
      <c r="B1169" s="13"/>
      <c r="C1169" s="13"/>
      <c r="D1169" s="14"/>
      <c r="E1169" s="14"/>
      <c r="F1169" s="14"/>
    </row>
    <row r="1170" spans="1:6" s="11" customFormat="1" x14ac:dyDescent="0.25">
      <c r="A1170" s="12"/>
      <c r="B1170" s="13"/>
      <c r="C1170" s="13"/>
      <c r="D1170" s="14"/>
      <c r="E1170" s="14"/>
      <c r="F1170" s="14"/>
    </row>
    <row r="1171" spans="1:6" s="11" customFormat="1" x14ac:dyDescent="0.25">
      <c r="A1171" s="12"/>
      <c r="B1171" s="13"/>
      <c r="C1171" s="13"/>
      <c r="D1171" s="14"/>
      <c r="E1171" s="14"/>
      <c r="F1171" s="14"/>
    </row>
    <row r="1172" spans="1:6" s="11" customFormat="1" x14ac:dyDescent="0.25">
      <c r="A1172" s="12"/>
      <c r="B1172" s="13"/>
      <c r="C1172" s="13"/>
      <c r="D1172" s="14"/>
      <c r="E1172" s="14"/>
      <c r="F1172" s="14"/>
    </row>
    <row r="1173" spans="1:6" s="11" customFormat="1" x14ac:dyDescent="0.25">
      <c r="A1173" s="12"/>
      <c r="B1173" s="13"/>
      <c r="C1173" s="13"/>
      <c r="D1173" s="14"/>
      <c r="E1173" s="14"/>
      <c r="F1173" s="14"/>
    </row>
    <row r="1174" spans="1:6" s="11" customFormat="1" x14ac:dyDescent="0.25">
      <c r="A1174" s="12"/>
      <c r="B1174" s="13"/>
      <c r="C1174" s="13"/>
      <c r="D1174" s="14"/>
      <c r="E1174" s="14"/>
      <c r="F1174" s="14"/>
    </row>
    <row r="1175" spans="1:6" s="11" customFormat="1" x14ac:dyDescent="0.25">
      <c r="A1175" s="12"/>
      <c r="B1175" s="13"/>
      <c r="C1175" s="13"/>
      <c r="D1175" s="14"/>
      <c r="E1175" s="14"/>
      <c r="F1175" s="14"/>
    </row>
    <row r="1176" spans="1:6" s="11" customFormat="1" x14ac:dyDescent="0.25">
      <c r="A1176" s="12"/>
      <c r="B1176" s="13"/>
      <c r="C1176" s="13"/>
      <c r="D1176" s="14"/>
      <c r="E1176" s="14"/>
      <c r="F1176" s="14"/>
    </row>
    <row r="1177" spans="1:6" s="11" customFormat="1" x14ac:dyDescent="0.25">
      <c r="A1177" s="12"/>
      <c r="B1177" s="13"/>
      <c r="C1177" s="13"/>
      <c r="D1177" s="14"/>
      <c r="E1177" s="14"/>
      <c r="F1177" s="14"/>
    </row>
    <row r="1178" spans="1:6" s="11" customFormat="1" x14ac:dyDescent="0.25">
      <c r="A1178" s="12"/>
      <c r="B1178" s="13"/>
      <c r="C1178" s="13"/>
      <c r="D1178" s="14"/>
      <c r="E1178" s="14"/>
      <c r="F1178" s="14"/>
    </row>
    <row r="1179" spans="1:6" s="11" customFormat="1" x14ac:dyDescent="0.25">
      <c r="A1179" s="12"/>
      <c r="B1179" s="13"/>
      <c r="C1179" s="13"/>
      <c r="D1179" s="14"/>
      <c r="E1179" s="14"/>
      <c r="F1179" s="14"/>
    </row>
    <row r="1180" spans="1:6" s="11" customFormat="1" x14ac:dyDescent="0.25">
      <c r="A1180" s="12"/>
      <c r="B1180" s="13"/>
      <c r="C1180" s="13"/>
      <c r="D1180" s="14"/>
      <c r="E1180" s="14"/>
      <c r="F1180" s="14"/>
    </row>
    <row r="1181" spans="1:6" s="11" customFormat="1" x14ac:dyDescent="0.25">
      <c r="A1181" s="12"/>
      <c r="B1181" s="13"/>
      <c r="C1181" s="13"/>
      <c r="D1181" s="14"/>
      <c r="E1181" s="14"/>
      <c r="F1181" s="14"/>
    </row>
    <row r="1182" spans="1:6" s="11" customFormat="1" x14ac:dyDescent="0.25">
      <c r="A1182" s="12"/>
      <c r="B1182" s="13"/>
      <c r="C1182" s="13"/>
      <c r="D1182" s="14"/>
      <c r="E1182" s="14"/>
      <c r="F1182" s="14"/>
    </row>
    <row r="1183" spans="1:6" s="11" customFormat="1" x14ac:dyDescent="0.25">
      <c r="A1183" s="12"/>
      <c r="B1183" s="13"/>
      <c r="C1183" s="13"/>
      <c r="D1183" s="14"/>
      <c r="E1183" s="14"/>
      <c r="F1183" s="14"/>
    </row>
    <row r="1184" spans="1:6" s="11" customFormat="1" x14ac:dyDescent="0.25">
      <c r="A1184" s="12"/>
      <c r="B1184" s="13"/>
      <c r="C1184" s="13"/>
      <c r="D1184" s="14"/>
      <c r="E1184" s="14"/>
      <c r="F1184" s="14"/>
    </row>
    <row r="1185" spans="1:6" s="11" customFormat="1" x14ac:dyDescent="0.25">
      <c r="A1185" s="12"/>
      <c r="B1185" s="13"/>
      <c r="C1185" s="13"/>
      <c r="D1185" s="14"/>
      <c r="E1185" s="14"/>
      <c r="F1185" s="14"/>
    </row>
    <row r="1186" spans="1:6" s="11" customFormat="1" x14ac:dyDescent="0.25">
      <c r="A1186" s="12"/>
      <c r="B1186" s="13"/>
      <c r="C1186" s="13"/>
      <c r="D1186" s="14"/>
      <c r="E1186" s="14"/>
      <c r="F1186" s="14"/>
    </row>
    <row r="1187" spans="1:6" s="11" customFormat="1" x14ac:dyDescent="0.25">
      <c r="A1187" s="12"/>
      <c r="B1187" s="13"/>
      <c r="C1187" s="13"/>
      <c r="D1187" s="14"/>
      <c r="E1187" s="14"/>
      <c r="F1187" s="14"/>
    </row>
    <row r="1188" spans="1:6" s="11" customFormat="1" x14ac:dyDescent="0.25">
      <c r="A1188" s="12"/>
      <c r="B1188" s="13"/>
      <c r="C1188" s="13"/>
      <c r="D1188" s="14"/>
      <c r="E1188" s="14"/>
      <c r="F1188" s="14"/>
    </row>
    <row r="1189" spans="1:6" s="11" customFormat="1" x14ac:dyDescent="0.25">
      <c r="A1189" s="12"/>
      <c r="B1189" s="13"/>
      <c r="C1189" s="13"/>
      <c r="D1189" s="14"/>
      <c r="E1189" s="14"/>
      <c r="F1189" s="14"/>
    </row>
    <row r="1190" spans="1:6" s="11" customFormat="1" x14ac:dyDescent="0.25">
      <c r="A1190" s="12"/>
      <c r="B1190" s="13"/>
      <c r="C1190" s="13"/>
      <c r="D1190" s="14"/>
      <c r="E1190" s="14"/>
      <c r="F1190" s="14"/>
    </row>
    <row r="1191" spans="1:6" s="11" customFormat="1" x14ac:dyDescent="0.25">
      <c r="A1191" s="12"/>
      <c r="B1191" s="13"/>
      <c r="C1191" s="13"/>
      <c r="D1191" s="14"/>
      <c r="E1191" s="14"/>
      <c r="F1191" s="14"/>
    </row>
    <row r="1192" spans="1:6" s="11" customFormat="1" x14ac:dyDescent="0.25">
      <c r="A1192" s="12"/>
      <c r="B1192" s="13"/>
      <c r="C1192" s="13"/>
      <c r="D1192" s="14"/>
      <c r="E1192" s="14"/>
      <c r="F1192" s="14"/>
    </row>
    <row r="1193" spans="1:6" s="11" customFormat="1" x14ac:dyDescent="0.25">
      <c r="A1193" s="12"/>
      <c r="B1193" s="13"/>
      <c r="C1193" s="13"/>
      <c r="D1193" s="14"/>
      <c r="E1193" s="14"/>
      <c r="F1193" s="14"/>
    </row>
    <row r="1194" spans="1:6" s="11" customFormat="1" x14ac:dyDescent="0.25">
      <c r="A1194" s="12"/>
      <c r="B1194" s="13"/>
      <c r="C1194" s="13"/>
      <c r="D1194" s="14"/>
      <c r="E1194" s="14"/>
      <c r="F1194" s="14"/>
    </row>
    <row r="1195" spans="1:6" s="11" customFormat="1" x14ac:dyDescent="0.25">
      <c r="A1195" s="12"/>
      <c r="B1195" s="13"/>
      <c r="C1195" s="13"/>
      <c r="D1195" s="14"/>
      <c r="E1195" s="14"/>
      <c r="F1195" s="14"/>
    </row>
    <row r="1196" spans="1:6" s="11" customFormat="1" x14ac:dyDescent="0.25">
      <c r="A1196" s="12"/>
      <c r="B1196" s="13"/>
      <c r="C1196" s="13"/>
      <c r="D1196" s="14"/>
      <c r="E1196" s="14"/>
      <c r="F1196" s="14"/>
    </row>
    <row r="1197" spans="1:6" s="11" customFormat="1" x14ac:dyDescent="0.25">
      <c r="A1197" s="12"/>
      <c r="B1197" s="13"/>
      <c r="C1197" s="13"/>
      <c r="D1197" s="14"/>
      <c r="E1197" s="14"/>
      <c r="F1197" s="14"/>
    </row>
    <row r="1198" spans="1:6" s="11" customFormat="1" x14ac:dyDescent="0.25">
      <c r="A1198" s="12"/>
      <c r="B1198" s="13"/>
      <c r="C1198" s="13"/>
      <c r="D1198" s="14"/>
      <c r="E1198" s="14"/>
      <c r="F1198" s="14"/>
    </row>
    <row r="1199" spans="1:6" s="11" customFormat="1" x14ac:dyDescent="0.25">
      <c r="A1199" s="12"/>
      <c r="B1199" s="13"/>
      <c r="C1199" s="13"/>
      <c r="D1199" s="14"/>
      <c r="E1199" s="14"/>
      <c r="F1199" s="14"/>
    </row>
    <row r="1200" spans="1:6" s="11" customFormat="1" x14ac:dyDescent="0.25">
      <c r="A1200" s="12"/>
      <c r="B1200" s="13"/>
      <c r="C1200" s="13"/>
      <c r="D1200" s="14"/>
      <c r="E1200" s="14"/>
      <c r="F1200" s="14"/>
    </row>
    <row r="1201" spans="1:6" s="11" customFormat="1" x14ac:dyDescent="0.25">
      <c r="A1201" s="12"/>
      <c r="B1201" s="13"/>
      <c r="C1201" s="13"/>
      <c r="D1201" s="14"/>
      <c r="E1201" s="14"/>
      <c r="F1201" s="14"/>
    </row>
    <row r="1202" spans="1:6" s="11" customFormat="1" x14ac:dyDescent="0.25">
      <c r="A1202" s="12"/>
      <c r="B1202" s="13"/>
      <c r="C1202" s="13"/>
      <c r="D1202" s="14"/>
      <c r="E1202" s="14"/>
      <c r="F1202" s="14"/>
    </row>
    <row r="1203" spans="1:6" s="11" customFormat="1" x14ac:dyDescent="0.25">
      <c r="A1203" s="12"/>
      <c r="B1203" s="13"/>
      <c r="C1203" s="13"/>
      <c r="D1203" s="14"/>
      <c r="E1203" s="14"/>
      <c r="F1203" s="14"/>
    </row>
    <row r="1204" spans="1:6" s="11" customFormat="1" x14ac:dyDescent="0.25">
      <c r="A1204" s="12"/>
      <c r="B1204" s="13"/>
      <c r="C1204" s="13"/>
      <c r="D1204" s="14"/>
      <c r="E1204" s="14"/>
      <c r="F1204" s="14"/>
    </row>
    <row r="1205" spans="1:6" s="11" customFormat="1" x14ac:dyDescent="0.25">
      <c r="A1205" s="12"/>
      <c r="B1205" s="13"/>
      <c r="C1205" s="13"/>
      <c r="D1205" s="14"/>
      <c r="E1205" s="14"/>
      <c r="F1205" s="14"/>
    </row>
    <row r="1206" spans="1:6" s="11" customFormat="1" x14ac:dyDescent="0.25">
      <c r="A1206" s="12"/>
      <c r="B1206" s="13"/>
      <c r="C1206" s="13"/>
      <c r="D1206" s="14"/>
      <c r="E1206" s="14"/>
      <c r="F1206" s="14"/>
    </row>
    <row r="1207" spans="1:6" s="11" customFormat="1" x14ac:dyDescent="0.25">
      <c r="A1207" s="12"/>
      <c r="B1207" s="13"/>
      <c r="C1207" s="13"/>
      <c r="D1207" s="14"/>
      <c r="E1207" s="14"/>
      <c r="F1207" s="14"/>
    </row>
    <row r="1208" spans="1:6" s="11" customFormat="1" x14ac:dyDescent="0.25">
      <c r="A1208" s="12"/>
      <c r="B1208" s="13"/>
      <c r="C1208" s="13"/>
      <c r="D1208" s="14"/>
      <c r="E1208" s="14"/>
      <c r="F1208" s="14"/>
    </row>
    <row r="1209" spans="1:6" s="11" customFormat="1" x14ac:dyDescent="0.25">
      <c r="A1209" s="12"/>
      <c r="B1209" s="13"/>
      <c r="C1209" s="13"/>
      <c r="D1209" s="14"/>
      <c r="E1209" s="14"/>
      <c r="F1209" s="14"/>
    </row>
    <row r="1210" spans="1:6" s="11" customFormat="1" x14ac:dyDescent="0.25">
      <c r="A1210" s="12"/>
      <c r="B1210" s="13"/>
      <c r="C1210" s="13"/>
      <c r="D1210" s="14"/>
      <c r="E1210" s="14"/>
      <c r="F1210" s="14"/>
    </row>
    <row r="1211" spans="1:6" s="11" customFormat="1" x14ac:dyDescent="0.25">
      <c r="A1211" s="12"/>
      <c r="B1211" s="13"/>
      <c r="C1211" s="13"/>
      <c r="D1211" s="14"/>
      <c r="E1211" s="14"/>
      <c r="F1211" s="14"/>
    </row>
    <row r="1212" spans="1:6" s="11" customFormat="1" x14ac:dyDescent="0.25">
      <c r="A1212" s="12"/>
      <c r="B1212" s="13"/>
      <c r="C1212" s="13"/>
      <c r="D1212" s="14"/>
      <c r="E1212" s="14"/>
      <c r="F1212" s="14"/>
    </row>
    <row r="1213" spans="1:6" s="11" customFormat="1" x14ac:dyDescent="0.25">
      <c r="A1213" s="12"/>
      <c r="B1213" s="13"/>
      <c r="C1213" s="13"/>
      <c r="D1213" s="14"/>
      <c r="E1213" s="14"/>
      <c r="F1213" s="14"/>
    </row>
    <row r="1214" spans="1:6" s="11" customFormat="1" x14ac:dyDescent="0.25">
      <c r="A1214" s="12"/>
      <c r="B1214" s="13"/>
      <c r="C1214" s="13"/>
      <c r="D1214" s="14"/>
      <c r="E1214" s="14"/>
      <c r="F1214" s="14"/>
    </row>
    <row r="1215" spans="1:6" s="11" customFormat="1" x14ac:dyDescent="0.25">
      <c r="A1215" s="12"/>
      <c r="B1215" s="13"/>
      <c r="C1215" s="13"/>
      <c r="D1215" s="14"/>
      <c r="E1215" s="14"/>
      <c r="F1215" s="14"/>
    </row>
    <row r="1216" spans="1:6" s="11" customFormat="1" x14ac:dyDescent="0.25">
      <c r="A1216" s="12"/>
      <c r="B1216" s="13"/>
      <c r="C1216" s="13"/>
      <c r="D1216" s="14"/>
      <c r="E1216" s="14"/>
      <c r="F1216" s="14"/>
    </row>
    <row r="1217" spans="1:6" s="11" customFormat="1" x14ac:dyDescent="0.25">
      <c r="A1217" s="12"/>
      <c r="B1217" s="13"/>
      <c r="C1217" s="13"/>
      <c r="D1217" s="14"/>
      <c r="E1217" s="14"/>
      <c r="F1217" s="14"/>
    </row>
    <row r="1218" spans="1:6" s="11" customFormat="1" x14ac:dyDescent="0.25">
      <c r="A1218" s="12"/>
      <c r="B1218" s="13"/>
      <c r="C1218" s="13"/>
      <c r="D1218" s="14"/>
      <c r="E1218" s="14"/>
      <c r="F1218" s="14"/>
    </row>
    <row r="1219" spans="1:6" s="11" customFormat="1" x14ac:dyDescent="0.25">
      <c r="A1219" s="12"/>
      <c r="B1219" s="13"/>
      <c r="C1219" s="13"/>
      <c r="D1219" s="14"/>
      <c r="E1219" s="14"/>
      <c r="F1219" s="14"/>
    </row>
    <row r="1220" spans="1:6" s="11" customFormat="1" x14ac:dyDescent="0.25">
      <c r="A1220" s="12"/>
      <c r="B1220" s="13"/>
      <c r="C1220" s="13"/>
      <c r="D1220" s="14"/>
      <c r="E1220" s="14"/>
      <c r="F1220" s="14"/>
    </row>
    <row r="1221" spans="1:6" s="11" customFormat="1" x14ac:dyDescent="0.25">
      <c r="A1221" s="12"/>
      <c r="B1221" s="13"/>
      <c r="C1221" s="13"/>
      <c r="D1221" s="14"/>
      <c r="E1221" s="14"/>
      <c r="F1221" s="14"/>
    </row>
    <row r="1222" spans="1:6" s="11" customFormat="1" x14ac:dyDescent="0.25">
      <c r="A1222" s="12"/>
      <c r="B1222" s="13"/>
      <c r="C1222" s="13"/>
      <c r="D1222" s="14"/>
      <c r="E1222" s="14"/>
      <c r="F1222" s="14"/>
    </row>
    <row r="1223" spans="1:6" s="11" customFormat="1" x14ac:dyDescent="0.25">
      <c r="A1223" s="12"/>
      <c r="B1223" s="13"/>
      <c r="C1223" s="13"/>
      <c r="D1223" s="14"/>
      <c r="E1223" s="14"/>
      <c r="F1223" s="14"/>
    </row>
    <row r="1224" spans="1:6" s="11" customFormat="1" x14ac:dyDescent="0.25">
      <c r="A1224" s="12"/>
      <c r="B1224" s="13"/>
      <c r="C1224" s="13"/>
      <c r="D1224" s="14"/>
      <c r="E1224" s="14"/>
      <c r="F1224" s="14"/>
    </row>
    <row r="1225" spans="1:6" s="11" customFormat="1" x14ac:dyDescent="0.25">
      <c r="A1225" s="12"/>
      <c r="B1225" s="13"/>
      <c r="C1225" s="13"/>
      <c r="D1225" s="14"/>
      <c r="E1225" s="14"/>
      <c r="F1225" s="14"/>
    </row>
    <row r="1226" spans="1:6" s="11" customFormat="1" x14ac:dyDescent="0.25">
      <c r="A1226" s="12"/>
      <c r="B1226" s="13"/>
      <c r="C1226" s="13"/>
      <c r="D1226" s="14"/>
      <c r="E1226" s="14"/>
      <c r="F1226" s="14"/>
    </row>
    <row r="1227" spans="1:6" s="11" customFormat="1" x14ac:dyDescent="0.25">
      <c r="A1227" s="12"/>
      <c r="B1227" s="13"/>
      <c r="C1227" s="13"/>
      <c r="D1227" s="14"/>
      <c r="E1227" s="14"/>
      <c r="F1227" s="14"/>
    </row>
    <row r="1228" spans="1:6" s="11" customFormat="1" x14ac:dyDescent="0.25">
      <c r="A1228" s="12"/>
      <c r="B1228" s="13"/>
      <c r="C1228" s="13"/>
      <c r="D1228" s="14"/>
      <c r="E1228" s="14"/>
      <c r="F1228" s="14"/>
    </row>
    <row r="1229" spans="1:6" s="11" customFormat="1" x14ac:dyDescent="0.25">
      <c r="A1229" s="12"/>
      <c r="B1229" s="13"/>
      <c r="C1229" s="13"/>
      <c r="D1229" s="14"/>
      <c r="E1229" s="14"/>
      <c r="F1229" s="14"/>
    </row>
    <row r="1230" spans="1:6" s="11" customFormat="1" x14ac:dyDescent="0.25">
      <c r="A1230" s="12"/>
      <c r="B1230" s="13"/>
      <c r="C1230" s="13"/>
      <c r="D1230" s="14"/>
      <c r="E1230" s="14"/>
      <c r="F1230" s="14"/>
    </row>
    <row r="1231" spans="1:6" s="11" customFormat="1" x14ac:dyDescent="0.25">
      <c r="A1231" s="12"/>
      <c r="B1231" s="13"/>
      <c r="C1231" s="13"/>
      <c r="D1231" s="14"/>
      <c r="E1231" s="14"/>
      <c r="F1231" s="14"/>
    </row>
    <row r="1232" spans="1:6" s="11" customFormat="1" x14ac:dyDescent="0.25">
      <c r="A1232" s="12"/>
      <c r="B1232" s="13"/>
      <c r="C1232" s="13"/>
      <c r="D1232" s="14"/>
      <c r="E1232" s="14"/>
      <c r="F1232" s="14"/>
    </row>
    <row r="1233" spans="1:6" s="11" customFormat="1" x14ac:dyDescent="0.25">
      <c r="A1233" s="12"/>
      <c r="B1233" s="13"/>
      <c r="C1233" s="13"/>
      <c r="D1233" s="14"/>
      <c r="E1233" s="14"/>
      <c r="F1233" s="14"/>
    </row>
    <row r="1234" spans="1:6" s="11" customFormat="1" x14ac:dyDescent="0.25">
      <c r="A1234" s="12"/>
      <c r="B1234" s="13"/>
      <c r="C1234" s="13"/>
      <c r="D1234" s="14"/>
      <c r="E1234" s="14"/>
      <c r="F1234" s="14"/>
    </row>
    <row r="1235" spans="1:6" s="11" customFormat="1" x14ac:dyDescent="0.25">
      <c r="A1235" s="12"/>
      <c r="B1235" s="13"/>
      <c r="C1235" s="13"/>
      <c r="D1235" s="14"/>
      <c r="E1235" s="14"/>
      <c r="F1235" s="14"/>
    </row>
    <row r="1236" spans="1:6" s="11" customFormat="1" x14ac:dyDescent="0.25">
      <c r="A1236" s="12"/>
      <c r="B1236" s="13"/>
      <c r="C1236" s="13"/>
      <c r="D1236" s="14"/>
      <c r="E1236" s="14"/>
      <c r="F1236" s="14"/>
    </row>
    <row r="1237" spans="1:6" s="11" customFormat="1" x14ac:dyDescent="0.25">
      <c r="A1237" s="12"/>
      <c r="B1237" s="13"/>
      <c r="C1237" s="13"/>
      <c r="D1237" s="14"/>
      <c r="E1237" s="14"/>
      <c r="F1237" s="14"/>
    </row>
    <row r="1238" spans="1:6" s="11" customFormat="1" x14ac:dyDescent="0.25">
      <c r="A1238" s="12"/>
      <c r="B1238" s="13"/>
      <c r="C1238" s="13"/>
      <c r="D1238" s="14"/>
      <c r="E1238" s="14"/>
      <c r="F1238" s="14"/>
    </row>
    <row r="1239" spans="1:6" s="11" customFormat="1" x14ac:dyDescent="0.25">
      <c r="A1239" s="12"/>
      <c r="B1239" s="13"/>
      <c r="C1239" s="13"/>
      <c r="D1239" s="14"/>
      <c r="E1239" s="14"/>
      <c r="F1239" s="14"/>
    </row>
    <row r="1240" spans="1:6" s="11" customFormat="1" x14ac:dyDescent="0.25">
      <c r="A1240" s="12"/>
      <c r="B1240" s="13"/>
      <c r="C1240" s="13"/>
      <c r="D1240" s="14"/>
      <c r="E1240" s="14"/>
      <c r="F1240" s="14"/>
    </row>
    <row r="1241" spans="1:6" s="11" customFormat="1" x14ac:dyDescent="0.25">
      <c r="A1241" s="12"/>
      <c r="B1241" s="13"/>
      <c r="C1241" s="13"/>
      <c r="D1241" s="14"/>
      <c r="E1241" s="14"/>
      <c r="F1241" s="14"/>
    </row>
    <row r="1242" spans="1:6" s="11" customFormat="1" x14ac:dyDescent="0.25">
      <c r="A1242" s="12"/>
      <c r="B1242" s="13"/>
      <c r="C1242" s="13"/>
      <c r="D1242" s="14"/>
      <c r="E1242" s="14"/>
      <c r="F1242" s="14"/>
    </row>
    <row r="1243" spans="1:6" s="11" customFormat="1" x14ac:dyDescent="0.25">
      <c r="A1243" s="12"/>
      <c r="B1243" s="13"/>
      <c r="C1243" s="13"/>
      <c r="D1243" s="14"/>
      <c r="E1243" s="14"/>
      <c r="F1243" s="14"/>
    </row>
    <row r="1244" spans="1:6" s="11" customFormat="1" x14ac:dyDescent="0.25">
      <c r="A1244" s="12"/>
      <c r="B1244" s="13"/>
      <c r="C1244" s="13"/>
      <c r="D1244" s="14"/>
      <c r="E1244" s="14"/>
      <c r="F1244" s="14"/>
    </row>
    <row r="1245" spans="1:6" s="11" customFormat="1" x14ac:dyDescent="0.25">
      <c r="A1245" s="12"/>
      <c r="B1245" s="13"/>
      <c r="C1245" s="13"/>
      <c r="D1245" s="14"/>
      <c r="E1245" s="14"/>
      <c r="F1245" s="14"/>
    </row>
    <row r="1246" spans="1:6" s="11" customFormat="1" x14ac:dyDescent="0.25">
      <c r="A1246" s="12"/>
      <c r="B1246" s="13"/>
      <c r="C1246" s="13"/>
      <c r="D1246" s="14"/>
      <c r="E1246" s="14"/>
      <c r="F1246" s="14"/>
    </row>
    <row r="1247" spans="1:6" s="11" customFormat="1" x14ac:dyDescent="0.25">
      <c r="A1247" s="12"/>
      <c r="B1247" s="13"/>
      <c r="C1247" s="13"/>
      <c r="D1247" s="14"/>
      <c r="E1247" s="14"/>
      <c r="F1247" s="14"/>
    </row>
    <row r="1248" spans="1:6" s="11" customFormat="1" x14ac:dyDescent="0.25">
      <c r="A1248" s="12"/>
      <c r="B1248" s="13"/>
      <c r="C1248" s="13"/>
      <c r="D1248" s="14"/>
      <c r="E1248" s="14"/>
      <c r="F1248" s="14"/>
    </row>
    <row r="1249" spans="1:6" s="11" customFormat="1" x14ac:dyDescent="0.25">
      <c r="A1249" s="12"/>
      <c r="B1249" s="13"/>
      <c r="C1249" s="13"/>
      <c r="D1249" s="14"/>
      <c r="E1249" s="14"/>
      <c r="F1249" s="14"/>
    </row>
    <row r="1250" spans="1:6" s="11" customFormat="1" x14ac:dyDescent="0.25">
      <c r="A1250" s="12"/>
      <c r="B1250" s="13"/>
      <c r="C1250" s="13"/>
      <c r="D1250" s="14"/>
      <c r="E1250" s="14"/>
      <c r="F1250" s="14"/>
    </row>
    <row r="1251" spans="1:6" s="11" customFormat="1" x14ac:dyDescent="0.25">
      <c r="A1251" s="12"/>
      <c r="B1251" s="13"/>
      <c r="C1251" s="13"/>
      <c r="D1251" s="14"/>
      <c r="E1251" s="14"/>
      <c r="F1251" s="14"/>
    </row>
    <row r="1252" spans="1:6" s="11" customFormat="1" x14ac:dyDescent="0.25">
      <c r="A1252" s="12"/>
      <c r="B1252" s="13"/>
      <c r="C1252" s="13"/>
      <c r="D1252" s="14"/>
      <c r="E1252" s="14"/>
      <c r="F1252" s="14"/>
    </row>
    <row r="1253" spans="1:6" s="11" customFormat="1" x14ac:dyDescent="0.25">
      <c r="A1253" s="12"/>
      <c r="B1253" s="13"/>
      <c r="C1253" s="13"/>
      <c r="D1253" s="14"/>
      <c r="E1253" s="14"/>
      <c r="F1253" s="14"/>
    </row>
    <row r="1254" spans="1:6" s="11" customFormat="1" x14ac:dyDescent="0.25">
      <c r="A1254" s="12"/>
      <c r="B1254" s="13"/>
      <c r="C1254" s="13"/>
      <c r="D1254" s="14"/>
      <c r="E1254" s="14"/>
      <c r="F1254" s="14"/>
    </row>
    <row r="1255" spans="1:6" s="11" customFormat="1" x14ac:dyDescent="0.25">
      <c r="A1255" s="12"/>
      <c r="B1255" s="13"/>
      <c r="C1255" s="13"/>
      <c r="D1255" s="14"/>
      <c r="E1255" s="14"/>
      <c r="F1255" s="14"/>
    </row>
    <row r="1256" spans="1:6" s="11" customFormat="1" x14ac:dyDescent="0.25">
      <c r="A1256" s="12"/>
      <c r="B1256" s="13"/>
      <c r="C1256" s="13"/>
      <c r="D1256" s="14"/>
      <c r="E1256" s="14"/>
      <c r="F1256" s="14"/>
    </row>
    <row r="1257" spans="1:6" s="11" customFormat="1" x14ac:dyDescent="0.25">
      <c r="A1257" s="12"/>
      <c r="B1257" s="13"/>
      <c r="C1257" s="13"/>
      <c r="D1257" s="14"/>
      <c r="E1257" s="14"/>
      <c r="F1257" s="14"/>
    </row>
    <row r="1258" spans="1:6" s="11" customFormat="1" x14ac:dyDescent="0.25">
      <c r="A1258" s="12"/>
      <c r="B1258" s="13"/>
      <c r="C1258" s="13"/>
      <c r="D1258" s="14"/>
      <c r="E1258" s="14"/>
      <c r="F1258" s="14"/>
    </row>
    <row r="1259" spans="1:6" s="11" customFormat="1" x14ac:dyDescent="0.25">
      <c r="A1259" s="12"/>
      <c r="B1259" s="13"/>
      <c r="C1259" s="13"/>
      <c r="D1259" s="14"/>
      <c r="E1259" s="14"/>
      <c r="F1259" s="14"/>
    </row>
    <row r="1260" spans="1:6" s="11" customFormat="1" x14ac:dyDescent="0.25">
      <c r="A1260" s="12"/>
      <c r="B1260" s="13"/>
      <c r="C1260" s="13"/>
      <c r="D1260" s="14"/>
      <c r="E1260" s="14"/>
      <c r="F1260" s="14"/>
    </row>
    <row r="1261" spans="1:6" s="11" customFormat="1" x14ac:dyDescent="0.25">
      <c r="A1261" s="12"/>
      <c r="B1261" s="13"/>
      <c r="C1261" s="13"/>
      <c r="D1261" s="14"/>
      <c r="E1261" s="14"/>
      <c r="F1261" s="14"/>
    </row>
    <row r="1262" spans="1:6" s="11" customFormat="1" x14ac:dyDescent="0.25">
      <c r="A1262" s="12"/>
      <c r="B1262" s="13"/>
      <c r="C1262" s="13"/>
      <c r="D1262" s="14"/>
      <c r="E1262" s="14"/>
      <c r="F1262" s="14"/>
    </row>
    <row r="1263" spans="1:6" s="11" customFormat="1" x14ac:dyDescent="0.25">
      <c r="A1263" s="12"/>
      <c r="B1263" s="13"/>
      <c r="C1263" s="13"/>
      <c r="D1263" s="14"/>
      <c r="E1263" s="14"/>
      <c r="F1263" s="14"/>
    </row>
    <row r="1264" spans="1:6" s="11" customFormat="1" x14ac:dyDescent="0.25">
      <c r="A1264" s="12"/>
      <c r="B1264" s="13"/>
      <c r="C1264" s="13"/>
      <c r="D1264" s="14"/>
      <c r="E1264" s="14"/>
      <c r="F1264" s="14"/>
    </row>
    <row r="1265" spans="1:6" s="11" customFormat="1" x14ac:dyDescent="0.25">
      <c r="A1265" s="12"/>
      <c r="B1265" s="13"/>
      <c r="C1265" s="13"/>
      <c r="D1265" s="14"/>
      <c r="E1265" s="14"/>
      <c r="F1265" s="14"/>
    </row>
    <row r="1266" spans="1:6" s="11" customFormat="1" x14ac:dyDescent="0.25">
      <c r="A1266" s="12"/>
      <c r="B1266" s="13"/>
      <c r="C1266" s="13"/>
      <c r="D1266" s="14"/>
      <c r="E1266" s="14"/>
      <c r="F1266" s="14"/>
    </row>
    <row r="1267" spans="1:6" s="11" customFormat="1" x14ac:dyDescent="0.25">
      <c r="A1267" s="12"/>
      <c r="B1267" s="13"/>
      <c r="C1267" s="13"/>
      <c r="D1267" s="14"/>
      <c r="E1267" s="14"/>
      <c r="F1267" s="14"/>
    </row>
    <row r="1268" spans="1:6" s="11" customFormat="1" x14ac:dyDescent="0.25">
      <c r="A1268" s="12"/>
      <c r="B1268" s="13"/>
      <c r="C1268" s="13"/>
      <c r="D1268" s="14"/>
      <c r="E1268" s="14"/>
      <c r="F1268" s="14"/>
    </row>
    <row r="1269" spans="1:6" s="11" customFormat="1" x14ac:dyDescent="0.25">
      <c r="A1269" s="12"/>
      <c r="B1269" s="13"/>
      <c r="C1269" s="13"/>
      <c r="D1269" s="14"/>
      <c r="E1269" s="14"/>
      <c r="F1269" s="14"/>
    </row>
    <row r="1270" spans="1:6" s="11" customFormat="1" x14ac:dyDescent="0.25">
      <c r="A1270" s="12"/>
      <c r="B1270" s="13"/>
      <c r="C1270" s="13"/>
      <c r="D1270" s="14"/>
      <c r="E1270" s="14"/>
      <c r="F1270" s="14"/>
    </row>
    <row r="1271" spans="1:6" s="11" customFormat="1" x14ac:dyDescent="0.25">
      <c r="A1271" s="12"/>
      <c r="B1271" s="13"/>
      <c r="C1271" s="13"/>
      <c r="D1271" s="14"/>
      <c r="E1271" s="14"/>
      <c r="F1271" s="14"/>
    </row>
    <row r="1272" spans="1:6" s="11" customFormat="1" x14ac:dyDescent="0.25">
      <c r="A1272" s="12"/>
      <c r="B1272" s="13"/>
      <c r="C1272" s="13"/>
      <c r="D1272" s="14"/>
      <c r="E1272" s="14"/>
      <c r="F1272" s="14"/>
    </row>
    <row r="1273" spans="1:6" s="11" customFormat="1" x14ac:dyDescent="0.25">
      <c r="A1273" s="12"/>
      <c r="B1273" s="13"/>
      <c r="C1273" s="13"/>
      <c r="D1273" s="14"/>
      <c r="E1273" s="14"/>
      <c r="F1273" s="14"/>
    </row>
    <row r="1274" spans="1:6" s="11" customFormat="1" x14ac:dyDescent="0.25">
      <c r="A1274" s="12"/>
      <c r="B1274" s="13"/>
      <c r="C1274" s="13"/>
      <c r="D1274" s="14"/>
      <c r="E1274" s="14"/>
      <c r="F1274" s="14"/>
    </row>
    <row r="1275" spans="1:6" s="11" customFormat="1" x14ac:dyDescent="0.25">
      <c r="A1275" s="12"/>
      <c r="B1275" s="13"/>
      <c r="C1275" s="13"/>
      <c r="D1275" s="14"/>
      <c r="E1275" s="14"/>
      <c r="F1275" s="14"/>
    </row>
    <row r="1276" spans="1:6" s="11" customFormat="1" x14ac:dyDescent="0.25">
      <c r="A1276" s="12"/>
      <c r="B1276" s="13"/>
      <c r="C1276" s="13"/>
      <c r="D1276" s="14"/>
      <c r="E1276" s="14"/>
      <c r="F1276" s="14"/>
    </row>
    <row r="1277" spans="1:6" s="11" customFormat="1" x14ac:dyDescent="0.25">
      <c r="A1277" s="12"/>
      <c r="B1277" s="13"/>
      <c r="C1277" s="13"/>
      <c r="D1277" s="14"/>
      <c r="E1277" s="14"/>
      <c r="F1277" s="14"/>
    </row>
    <row r="1278" spans="1:6" s="11" customFormat="1" x14ac:dyDescent="0.25">
      <c r="A1278" s="12"/>
      <c r="B1278" s="13"/>
      <c r="C1278" s="13"/>
      <c r="D1278" s="14"/>
      <c r="E1278" s="14"/>
      <c r="F1278" s="14"/>
    </row>
    <row r="1279" spans="1:6" s="11" customFormat="1" x14ac:dyDescent="0.25">
      <c r="A1279" s="12"/>
      <c r="B1279" s="13"/>
      <c r="C1279" s="13"/>
      <c r="D1279" s="14"/>
      <c r="E1279" s="14"/>
      <c r="F1279" s="14"/>
    </row>
    <row r="1280" spans="1:6" s="11" customFormat="1" x14ac:dyDescent="0.25">
      <c r="A1280" s="12"/>
      <c r="B1280" s="13"/>
      <c r="C1280" s="13"/>
      <c r="D1280" s="14"/>
      <c r="E1280" s="14"/>
      <c r="F1280" s="14"/>
    </row>
    <row r="1281" spans="1:6" s="11" customFormat="1" x14ac:dyDescent="0.25">
      <c r="A1281" s="12"/>
      <c r="B1281" s="13"/>
      <c r="C1281" s="13"/>
      <c r="D1281" s="14"/>
      <c r="E1281" s="14"/>
      <c r="F1281" s="14"/>
    </row>
    <row r="1282" spans="1:6" s="11" customFormat="1" x14ac:dyDescent="0.25">
      <c r="A1282" s="12"/>
      <c r="B1282" s="13"/>
      <c r="C1282" s="13"/>
      <c r="D1282" s="14"/>
      <c r="E1282" s="14"/>
      <c r="F1282" s="14"/>
    </row>
    <row r="1283" spans="1:6" s="11" customFormat="1" x14ac:dyDescent="0.25">
      <c r="A1283" s="12"/>
      <c r="B1283" s="13"/>
      <c r="C1283" s="13"/>
      <c r="D1283" s="14"/>
      <c r="E1283" s="14"/>
      <c r="F1283" s="14"/>
    </row>
    <row r="1284" spans="1:6" s="11" customFormat="1" x14ac:dyDescent="0.25">
      <c r="A1284" s="12"/>
      <c r="B1284" s="13"/>
      <c r="C1284" s="13"/>
      <c r="D1284" s="14"/>
      <c r="E1284" s="14"/>
      <c r="F1284" s="14"/>
    </row>
    <row r="1285" spans="1:6" s="11" customFormat="1" x14ac:dyDescent="0.25">
      <c r="A1285" s="12"/>
      <c r="B1285" s="13"/>
      <c r="C1285" s="13"/>
      <c r="D1285" s="14"/>
      <c r="E1285" s="14"/>
      <c r="F1285" s="14"/>
    </row>
    <row r="1286" spans="1:6" s="11" customFormat="1" x14ac:dyDescent="0.25">
      <c r="A1286" s="12"/>
      <c r="B1286" s="13"/>
      <c r="C1286" s="13"/>
      <c r="D1286" s="14"/>
      <c r="E1286" s="14"/>
      <c r="F1286" s="14"/>
    </row>
    <row r="1287" spans="1:6" s="11" customFormat="1" x14ac:dyDescent="0.25">
      <c r="A1287" s="12"/>
      <c r="B1287" s="13"/>
      <c r="C1287" s="13"/>
      <c r="D1287" s="14"/>
      <c r="E1287" s="14"/>
      <c r="F1287" s="14"/>
    </row>
    <row r="1288" spans="1:6" s="11" customFormat="1" x14ac:dyDescent="0.25">
      <c r="A1288" s="12"/>
      <c r="B1288" s="13"/>
      <c r="C1288" s="13"/>
      <c r="D1288" s="14"/>
      <c r="E1288" s="14"/>
      <c r="F1288" s="14"/>
    </row>
    <row r="1289" spans="1:6" s="11" customFormat="1" x14ac:dyDescent="0.25">
      <c r="A1289" s="12"/>
      <c r="B1289" s="13"/>
      <c r="C1289" s="13"/>
      <c r="D1289" s="14"/>
      <c r="E1289" s="14"/>
      <c r="F1289" s="14"/>
    </row>
    <row r="1290" spans="1:6" s="11" customFormat="1" x14ac:dyDescent="0.25">
      <c r="A1290" s="12"/>
      <c r="B1290" s="13"/>
      <c r="C1290" s="13"/>
      <c r="D1290" s="14"/>
      <c r="E1290" s="14"/>
      <c r="F1290" s="14"/>
    </row>
    <row r="1291" spans="1:6" s="11" customFormat="1" x14ac:dyDescent="0.25">
      <c r="A1291" s="12"/>
      <c r="B1291" s="13"/>
      <c r="C1291" s="13"/>
      <c r="D1291" s="14"/>
      <c r="E1291" s="14"/>
      <c r="F1291" s="14"/>
    </row>
    <row r="1292" spans="1:6" s="11" customFormat="1" x14ac:dyDescent="0.25">
      <c r="A1292" s="12"/>
      <c r="B1292" s="13"/>
      <c r="C1292" s="13"/>
      <c r="D1292" s="14"/>
      <c r="E1292" s="14"/>
      <c r="F1292" s="14"/>
    </row>
    <row r="1293" spans="1:6" s="11" customFormat="1" x14ac:dyDescent="0.25">
      <c r="A1293" s="12"/>
      <c r="B1293" s="13"/>
      <c r="C1293" s="13"/>
      <c r="D1293" s="14"/>
      <c r="E1293" s="14"/>
      <c r="F1293" s="14"/>
    </row>
    <row r="1294" spans="1:6" s="11" customFormat="1" x14ac:dyDescent="0.25">
      <c r="A1294" s="12"/>
      <c r="B1294" s="13"/>
      <c r="C1294" s="13"/>
      <c r="D1294" s="14"/>
      <c r="E1294" s="14"/>
      <c r="F1294" s="14"/>
    </row>
    <row r="1295" spans="1:6" s="11" customFormat="1" x14ac:dyDescent="0.25">
      <c r="A1295" s="12"/>
      <c r="B1295" s="13"/>
      <c r="C1295" s="13"/>
      <c r="D1295" s="14"/>
      <c r="E1295" s="14"/>
      <c r="F1295" s="14"/>
    </row>
    <row r="1296" spans="1:6" s="11" customFormat="1" x14ac:dyDescent="0.25">
      <c r="A1296" s="12"/>
      <c r="B1296" s="13"/>
      <c r="C1296" s="13"/>
      <c r="D1296" s="14"/>
      <c r="E1296" s="14"/>
      <c r="F1296" s="14"/>
    </row>
    <row r="1297" spans="1:6" s="11" customFormat="1" x14ac:dyDescent="0.25">
      <c r="A1297" s="12"/>
      <c r="B1297" s="13"/>
      <c r="C1297" s="13"/>
      <c r="D1297" s="14"/>
      <c r="E1297" s="14"/>
      <c r="F1297" s="14"/>
    </row>
    <row r="1298" spans="1:6" s="11" customFormat="1" x14ac:dyDescent="0.25">
      <c r="A1298" s="12"/>
      <c r="B1298" s="13"/>
      <c r="C1298" s="13"/>
      <c r="D1298" s="14"/>
      <c r="E1298" s="14"/>
      <c r="F1298" s="14"/>
    </row>
    <row r="1299" spans="1:6" s="11" customFormat="1" x14ac:dyDescent="0.25">
      <c r="A1299" s="12"/>
      <c r="B1299" s="13"/>
      <c r="C1299" s="13"/>
      <c r="D1299" s="14"/>
      <c r="E1299" s="14"/>
      <c r="F1299" s="14"/>
    </row>
    <row r="1300" spans="1:6" s="11" customFormat="1" x14ac:dyDescent="0.25">
      <c r="A1300" s="12"/>
      <c r="B1300" s="13"/>
      <c r="C1300" s="13"/>
      <c r="D1300" s="14"/>
      <c r="E1300" s="14"/>
      <c r="F1300" s="14"/>
    </row>
    <row r="1301" spans="1:6" s="11" customFormat="1" x14ac:dyDescent="0.25">
      <c r="A1301" s="12"/>
      <c r="B1301" s="13"/>
      <c r="C1301" s="13"/>
      <c r="D1301" s="14"/>
      <c r="E1301" s="14"/>
      <c r="F1301" s="14"/>
    </row>
    <row r="1302" spans="1:6" s="11" customFormat="1" x14ac:dyDescent="0.25">
      <c r="A1302" s="12"/>
      <c r="B1302" s="13"/>
      <c r="C1302" s="13"/>
      <c r="D1302" s="14"/>
      <c r="E1302" s="14"/>
      <c r="F1302" s="14"/>
    </row>
    <row r="1303" spans="1:6" s="11" customFormat="1" x14ac:dyDescent="0.25">
      <c r="A1303" s="12"/>
      <c r="B1303" s="13"/>
      <c r="C1303" s="13"/>
      <c r="D1303" s="14"/>
      <c r="E1303" s="14"/>
      <c r="F1303" s="14"/>
    </row>
    <row r="1304" spans="1:6" s="11" customFormat="1" x14ac:dyDescent="0.25">
      <c r="A1304" s="12"/>
      <c r="B1304" s="13"/>
      <c r="C1304" s="13"/>
      <c r="D1304" s="14"/>
      <c r="E1304" s="14"/>
      <c r="F1304" s="14"/>
    </row>
    <row r="1305" spans="1:6" s="11" customFormat="1" x14ac:dyDescent="0.25">
      <c r="A1305" s="12"/>
      <c r="B1305" s="13"/>
      <c r="C1305" s="13"/>
      <c r="D1305" s="14"/>
      <c r="E1305" s="14"/>
      <c r="F1305" s="14"/>
    </row>
    <row r="1306" spans="1:6" s="11" customFormat="1" x14ac:dyDescent="0.25">
      <c r="A1306" s="12"/>
      <c r="B1306" s="13"/>
      <c r="C1306" s="13"/>
      <c r="D1306" s="14"/>
      <c r="E1306" s="14"/>
      <c r="F1306" s="14"/>
    </row>
    <row r="1307" spans="1:6" s="11" customFormat="1" x14ac:dyDescent="0.25">
      <c r="A1307" s="12"/>
      <c r="B1307" s="13"/>
      <c r="C1307" s="13"/>
      <c r="D1307" s="14"/>
      <c r="E1307" s="14"/>
      <c r="F1307" s="14"/>
    </row>
    <row r="1308" spans="1:6" s="11" customFormat="1" x14ac:dyDescent="0.25">
      <c r="A1308" s="12"/>
      <c r="B1308" s="13"/>
      <c r="C1308" s="13"/>
      <c r="D1308" s="14"/>
      <c r="E1308" s="14"/>
      <c r="F1308" s="14"/>
    </row>
    <row r="1309" spans="1:6" s="11" customFormat="1" x14ac:dyDescent="0.25">
      <c r="A1309" s="12"/>
      <c r="B1309" s="13"/>
      <c r="C1309" s="13"/>
      <c r="D1309" s="14"/>
      <c r="E1309" s="14"/>
      <c r="F1309" s="14"/>
    </row>
    <row r="1310" spans="1:6" s="11" customFormat="1" x14ac:dyDescent="0.25">
      <c r="A1310" s="12"/>
      <c r="B1310" s="13"/>
      <c r="C1310" s="13"/>
      <c r="D1310" s="14"/>
      <c r="E1310" s="14"/>
      <c r="F1310" s="14"/>
    </row>
    <row r="1311" spans="1:6" s="11" customFormat="1" x14ac:dyDescent="0.25">
      <c r="A1311" s="12"/>
      <c r="B1311" s="13"/>
      <c r="C1311" s="13"/>
      <c r="D1311" s="14"/>
      <c r="E1311" s="14"/>
      <c r="F1311" s="14"/>
    </row>
    <row r="1312" spans="1:6" s="11" customFormat="1" x14ac:dyDescent="0.25">
      <c r="A1312" s="12"/>
      <c r="B1312" s="13"/>
      <c r="C1312" s="13"/>
      <c r="D1312" s="14"/>
      <c r="E1312" s="14"/>
      <c r="F1312" s="14"/>
    </row>
    <row r="1313" spans="1:6" s="11" customFormat="1" x14ac:dyDescent="0.25">
      <c r="A1313" s="12"/>
      <c r="B1313" s="13"/>
      <c r="C1313" s="13"/>
      <c r="D1313" s="14"/>
      <c r="E1313" s="14"/>
      <c r="F1313" s="14"/>
    </row>
    <row r="1314" spans="1:6" s="11" customFormat="1" x14ac:dyDescent="0.25">
      <c r="A1314" s="12"/>
      <c r="B1314" s="13"/>
      <c r="C1314" s="13"/>
      <c r="D1314" s="14"/>
      <c r="E1314" s="14"/>
      <c r="F1314" s="14"/>
    </row>
    <row r="1315" spans="1:6" s="11" customFormat="1" x14ac:dyDescent="0.25">
      <c r="A1315" s="12"/>
      <c r="B1315" s="13"/>
      <c r="C1315" s="13"/>
      <c r="D1315" s="14"/>
      <c r="E1315" s="14"/>
      <c r="F1315" s="14"/>
    </row>
    <row r="1316" spans="1:6" s="11" customFormat="1" x14ac:dyDescent="0.25">
      <c r="A1316" s="12"/>
      <c r="B1316" s="13"/>
      <c r="C1316" s="13"/>
      <c r="D1316" s="14"/>
      <c r="E1316" s="14"/>
      <c r="F1316" s="14"/>
    </row>
    <row r="1317" spans="1:6" s="11" customFormat="1" x14ac:dyDescent="0.25">
      <c r="A1317" s="12"/>
      <c r="B1317" s="13"/>
      <c r="C1317" s="13"/>
      <c r="D1317" s="14"/>
      <c r="E1317" s="14"/>
      <c r="F1317" s="14"/>
    </row>
    <row r="1318" spans="1:6" s="11" customFormat="1" x14ac:dyDescent="0.25">
      <c r="A1318" s="12"/>
      <c r="B1318" s="13"/>
      <c r="C1318" s="13"/>
      <c r="D1318" s="14"/>
      <c r="E1318" s="14"/>
      <c r="F1318" s="14"/>
    </row>
    <row r="1319" spans="1:6" s="11" customFormat="1" x14ac:dyDescent="0.25">
      <c r="A1319" s="12"/>
      <c r="B1319" s="13"/>
      <c r="C1319" s="13"/>
      <c r="D1319" s="14"/>
      <c r="E1319" s="14"/>
      <c r="F1319" s="14"/>
    </row>
    <row r="1320" spans="1:6" s="11" customFormat="1" x14ac:dyDescent="0.25">
      <c r="A1320" s="12"/>
      <c r="B1320" s="13"/>
      <c r="C1320" s="13"/>
      <c r="D1320" s="14"/>
      <c r="E1320" s="14"/>
      <c r="F1320" s="14"/>
    </row>
    <row r="1321" spans="1:6" s="11" customFormat="1" x14ac:dyDescent="0.25">
      <c r="A1321" s="12"/>
      <c r="B1321" s="13"/>
      <c r="C1321" s="13"/>
      <c r="D1321" s="14"/>
      <c r="E1321" s="14"/>
      <c r="F1321" s="14"/>
    </row>
    <row r="1322" spans="1:6" s="11" customFormat="1" x14ac:dyDescent="0.25">
      <c r="A1322" s="12"/>
      <c r="B1322" s="13"/>
      <c r="C1322" s="13"/>
      <c r="D1322" s="14"/>
      <c r="E1322" s="14"/>
      <c r="F1322" s="14"/>
    </row>
    <row r="1323" spans="1:6" s="11" customFormat="1" x14ac:dyDescent="0.25">
      <c r="A1323" s="12"/>
      <c r="B1323" s="13"/>
      <c r="C1323" s="13"/>
      <c r="D1323" s="14"/>
      <c r="E1323" s="14"/>
      <c r="F1323" s="14"/>
    </row>
    <row r="1324" spans="1:6" s="11" customFormat="1" x14ac:dyDescent="0.25">
      <c r="A1324" s="12"/>
      <c r="B1324" s="13"/>
      <c r="C1324" s="13"/>
      <c r="D1324" s="14"/>
      <c r="E1324" s="14"/>
      <c r="F1324" s="14"/>
    </row>
    <row r="1325" spans="1:6" s="11" customFormat="1" x14ac:dyDescent="0.25">
      <c r="A1325" s="12"/>
      <c r="B1325" s="13"/>
      <c r="C1325" s="13"/>
      <c r="D1325" s="14"/>
      <c r="E1325" s="14"/>
      <c r="F1325" s="14"/>
    </row>
    <row r="1326" spans="1:6" s="11" customFormat="1" x14ac:dyDescent="0.25">
      <c r="A1326" s="12"/>
      <c r="B1326" s="13"/>
      <c r="C1326" s="13"/>
      <c r="D1326" s="14"/>
      <c r="E1326" s="14"/>
      <c r="F1326" s="14"/>
    </row>
    <row r="1327" spans="1:6" s="11" customFormat="1" x14ac:dyDescent="0.25">
      <c r="A1327" s="12"/>
      <c r="B1327" s="13"/>
      <c r="C1327" s="13"/>
      <c r="D1327" s="14"/>
      <c r="E1327" s="14"/>
      <c r="F1327" s="14"/>
    </row>
    <row r="1328" spans="1:6" s="11" customFormat="1" x14ac:dyDescent="0.25">
      <c r="A1328" s="12"/>
      <c r="B1328" s="13"/>
      <c r="C1328" s="13"/>
      <c r="D1328" s="14"/>
      <c r="E1328" s="14"/>
      <c r="F1328" s="14"/>
    </row>
    <row r="1329" spans="1:6" s="11" customFormat="1" x14ac:dyDescent="0.25">
      <c r="A1329" s="12"/>
      <c r="B1329" s="13"/>
      <c r="C1329" s="13"/>
      <c r="D1329" s="14"/>
      <c r="E1329" s="14"/>
      <c r="F1329" s="14"/>
    </row>
    <row r="1330" spans="1:6" s="11" customFormat="1" x14ac:dyDescent="0.25">
      <c r="A1330" s="12"/>
      <c r="B1330" s="13"/>
      <c r="C1330" s="13"/>
      <c r="D1330" s="14"/>
      <c r="E1330" s="14"/>
      <c r="F1330" s="14"/>
    </row>
    <row r="1331" spans="1:6" s="11" customFormat="1" x14ac:dyDescent="0.25">
      <c r="A1331" s="12"/>
      <c r="B1331" s="13"/>
      <c r="C1331" s="13"/>
      <c r="D1331" s="14"/>
      <c r="E1331" s="14"/>
      <c r="F1331" s="14"/>
    </row>
    <row r="1332" spans="1:6" s="11" customFormat="1" x14ac:dyDescent="0.25">
      <c r="A1332" s="12"/>
      <c r="B1332" s="13"/>
      <c r="C1332" s="13"/>
      <c r="D1332" s="14"/>
      <c r="E1332" s="14"/>
      <c r="F1332" s="14"/>
    </row>
    <row r="1333" spans="1:6" s="11" customFormat="1" x14ac:dyDescent="0.25">
      <c r="A1333" s="12"/>
      <c r="B1333" s="13"/>
      <c r="C1333" s="13"/>
      <c r="D1333" s="14"/>
      <c r="E1333" s="14"/>
      <c r="F1333" s="14"/>
    </row>
    <row r="1334" spans="1:6" s="11" customFormat="1" x14ac:dyDescent="0.25">
      <c r="A1334" s="12"/>
      <c r="B1334" s="13"/>
      <c r="C1334" s="13"/>
      <c r="D1334" s="14"/>
      <c r="E1334" s="14"/>
      <c r="F1334" s="14"/>
    </row>
    <row r="1335" spans="1:6" s="11" customFormat="1" x14ac:dyDescent="0.25">
      <c r="A1335" s="12"/>
      <c r="B1335" s="13"/>
      <c r="C1335" s="13"/>
      <c r="D1335" s="14"/>
      <c r="E1335" s="14"/>
      <c r="F1335" s="14"/>
    </row>
    <row r="1336" spans="1:6" s="11" customFormat="1" x14ac:dyDescent="0.25">
      <c r="A1336" s="12"/>
      <c r="B1336" s="13"/>
      <c r="C1336" s="13"/>
      <c r="D1336" s="14"/>
      <c r="E1336" s="14"/>
      <c r="F1336" s="14"/>
    </row>
    <row r="1337" spans="1:6" s="11" customFormat="1" x14ac:dyDescent="0.25">
      <c r="A1337" s="12"/>
      <c r="B1337" s="13"/>
      <c r="C1337" s="13"/>
      <c r="D1337" s="14"/>
      <c r="E1337" s="14"/>
      <c r="F1337" s="14"/>
    </row>
    <row r="1338" spans="1:6" s="11" customFormat="1" x14ac:dyDescent="0.25">
      <c r="A1338" s="12"/>
      <c r="B1338" s="13"/>
      <c r="C1338" s="13"/>
      <c r="D1338" s="14"/>
      <c r="E1338" s="14"/>
      <c r="F1338" s="14"/>
    </row>
    <row r="1339" spans="1:6" s="11" customFormat="1" x14ac:dyDescent="0.25">
      <c r="A1339" s="12"/>
      <c r="B1339" s="13"/>
      <c r="C1339" s="13"/>
      <c r="D1339" s="14"/>
      <c r="E1339" s="14"/>
      <c r="F1339" s="14"/>
    </row>
    <row r="1340" spans="1:6" s="11" customFormat="1" x14ac:dyDescent="0.25">
      <c r="A1340" s="12"/>
      <c r="B1340" s="13"/>
      <c r="C1340" s="13"/>
      <c r="D1340" s="14"/>
      <c r="E1340" s="14"/>
      <c r="F1340" s="14"/>
    </row>
    <row r="1341" spans="1:6" s="11" customFormat="1" x14ac:dyDescent="0.25">
      <c r="A1341" s="12"/>
      <c r="B1341" s="13"/>
      <c r="C1341" s="13"/>
      <c r="D1341" s="14"/>
      <c r="E1341" s="14"/>
      <c r="F1341" s="14"/>
    </row>
    <row r="1342" spans="1:6" s="11" customFormat="1" x14ac:dyDescent="0.25">
      <c r="A1342" s="12"/>
      <c r="B1342" s="13"/>
      <c r="C1342" s="13"/>
      <c r="D1342" s="14"/>
      <c r="E1342" s="14"/>
      <c r="F1342" s="14"/>
    </row>
    <row r="1343" spans="1:6" s="11" customFormat="1" x14ac:dyDescent="0.25">
      <c r="A1343" s="12"/>
      <c r="B1343" s="13"/>
      <c r="C1343" s="13"/>
      <c r="D1343" s="14"/>
      <c r="E1343" s="14"/>
      <c r="F1343" s="14"/>
    </row>
    <row r="1344" spans="1:6" s="11" customFormat="1" x14ac:dyDescent="0.25">
      <c r="A1344" s="12"/>
      <c r="B1344" s="13"/>
      <c r="C1344" s="13"/>
      <c r="D1344" s="14"/>
      <c r="E1344" s="14"/>
      <c r="F1344" s="14"/>
    </row>
    <row r="1345" spans="1:6" s="11" customFormat="1" x14ac:dyDescent="0.25">
      <c r="A1345" s="12"/>
      <c r="B1345" s="13"/>
      <c r="C1345" s="13"/>
      <c r="D1345" s="14"/>
      <c r="E1345" s="14"/>
      <c r="F1345" s="14"/>
    </row>
    <row r="1346" spans="1:6" s="11" customFormat="1" x14ac:dyDescent="0.25">
      <c r="A1346" s="12"/>
      <c r="B1346" s="13"/>
      <c r="C1346" s="13"/>
      <c r="D1346" s="14"/>
      <c r="E1346" s="14"/>
      <c r="F1346" s="14"/>
    </row>
    <row r="1347" spans="1:6" s="11" customFormat="1" x14ac:dyDescent="0.25">
      <c r="A1347" s="12"/>
      <c r="B1347" s="13"/>
      <c r="C1347" s="13"/>
      <c r="D1347" s="14"/>
      <c r="E1347" s="14"/>
      <c r="F1347" s="14"/>
    </row>
    <row r="1348" spans="1:6" s="11" customFormat="1" x14ac:dyDescent="0.25">
      <c r="A1348" s="12"/>
      <c r="B1348" s="13"/>
      <c r="C1348" s="13"/>
      <c r="D1348" s="14"/>
      <c r="E1348" s="14"/>
      <c r="F1348" s="14"/>
    </row>
    <row r="1349" spans="1:6" s="11" customFormat="1" x14ac:dyDescent="0.25">
      <c r="A1349" s="12"/>
      <c r="B1349" s="13"/>
      <c r="C1349" s="13"/>
      <c r="D1349" s="14"/>
      <c r="E1349" s="14"/>
      <c r="F1349" s="14"/>
    </row>
    <row r="1350" spans="1:6" s="11" customFormat="1" x14ac:dyDescent="0.25">
      <c r="A1350" s="12"/>
      <c r="B1350" s="13"/>
      <c r="C1350" s="13"/>
      <c r="D1350" s="14"/>
      <c r="E1350" s="14"/>
      <c r="F1350" s="14"/>
    </row>
    <row r="1351" spans="1:6" s="11" customFormat="1" x14ac:dyDescent="0.25">
      <c r="A1351" s="12"/>
      <c r="B1351" s="13"/>
      <c r="C1351" s="13"/>
      <c r="D1351" s="14"/>
      <c r="E1351" s="14"/>
      <c r="F1351" s="14"/>
    </row>
    <row r="1352" spans="1:6" s="11" customFormat="1" x14ac:dyDescent="0.25">
      <c r="A1352" s="12"/>
      <c r="B1352" s="13"/>
      <c r="C1352" s="13"/>
      <c r="D1352" s="14"/>
      <c r="E1352" s="14"/>
      <c r="F1352" s="14"/>
    </row>
    <row r="1353" spans="1:6" s="11" customFormat="1" x14ac:dyDescent="0.25">
      <c r="A1353" s="12"/>
      <c r="B1353" s="13"/>
      <c r="C1353" s="13"/>
      <c r="D1353" s="14"/>
      <c r="E1353" s="14"/>
      <c r="F1353" s="14"/>
    </row>
    <row r="1354" spans="1:6" s="11" customFormat="1" x14ac:dyDescent="0.25">
      <c r="A1354" s="12"/>
      <c r="B1354" s="13"/>
      <c r="C1354" s="13"/>
      <c r="D1354" s="14"/>
      <c r="E1354" s="14"/>
      <c r="F1354" s="14"/>
    </row>
    <row r="1355" spans="1:6" s="11" customFormat="1" x14ac:dyDescent="0.25">
      <c r="A1355" s="12"/>
      <c r="B1355" s="13"/>
      <c r="C1355" s="13"/>
      <c r="D1355" s="14"/>
      <c r="E1355" s="14"/>
      <c r="F1355" s="14"/>
    </row>
    <row r="1356" spans="1:6" s="11" customFormat="1" x14ac:dyDescent="0.25">
      <c r="A1356" s="12"/>
      <c r="B1356" s="13"/>
      <c r="C1356" s="13"/>
      <c r="D1356" s="14"/>
      <c r="E1356" s="14"/>
      <c r="F1356" s="14"/>
    </row>
    <row r="1357" spans="1:6" s="11" customFormat="1" x14ac:dyDescent="0.25">
      <c r="A1357" s="12"/>
      <c r="B1357" s="13"/>
      <c r="C1357" s="13"/>
      <c r="D1357" s="14"/>
      <c r="E1357" s="14"/>
      <c r="F1357" s="14"/>
    </row>
    <row r="1358" spans="1:6" s="11" customFormat="1" x14ac:dyDescent="0.25">
      <c r="A1358" s="12"/>
      <c r="B1358" s="13"/>
      <c r="C1358" s="13"/>
      <c r="D1358" s="14"/>
      <c r="E1358" s="14"/>
      <c r="F1358" s="14"/>
    </row>
    <row r="1359" spans="1:6" s="11" customFormat="1" x14ac:dyDescent="0.25">
      <c r="A1359" s="12"/>
      <c r="B1359" s="13"/>
      <c r="C1359" s="13"/>
      <c r="D1359" s="14"/>
      <c r="E1359" s="14"/>
      <c r="F1359" s="14"/>
    </row>
    <row r="1360" spans="1:6" s="11" customFormat="1" x14ac:dyDescent="0.25">
      <c r="A1360" s="12"/>
      <c r="B1360" s="13"/>
      <c r="C1360" s="13"/>
      <c r="D1360" s="14"/>
      <c r="E1360" s="14"/>
      <c r="F1360" s="14"/>
    </row>
    <row r="1361" spans="1:6" s="11" customFormat="1" x14ac:dyDescent="0.25">
      <c r="A1361" s="12"/>
      <c r="B1361" s="13"/>
      <c r="C1361" s="13"/>
      <c r="D1361" s="14"/>
      <c r="E1361" s="14"/>
      <c r="F1361" s="14"/>
    </row>
    <row r="1362" spans="1:6" s="11" customFormat="1" x14ac:dyDescent="0.25">
      <c r="A1362" s="12"/>
      <c r="B1362" s="13"/>
      <c r="C1362" s="13"/>
      <c r="D1362" s="14"/>
      <c r="E1362" s="14"/>
      <c r="F1362" s="14"/>
    </row>
    <row r="1363" spans="1:6" s="11" customFormat="1" x14ac:dyDescent="0.25">
      <c r="A1363" s="12"/>
      <c r="B1363" s="13"/>
      <c r="C1363" s="13"/>
      <c r="D1363" s="14"/>
      <c r="E1363" s="14"/>
      <c r="F1363" s="14"/>
    </row>
    <row r="1364" spans="1:6" s="11" customFormat="1" x14ac:dyDescent="0.25">
      <c r="A1364" s="12"/>
      <c r="B1364" s="13"/>
      <c r="C1364" s="13"/>
      <c r="D1364" s="14"/>
      <c r="E1364" s="14"/>
      <c r="F1364" s="14"/>
    </row>
    <row r="1365" spans="1:6" s="11" customFormat="1" x14ac:dyDescent="0.25">
      <c r="A1365" s="12"/>
      <c r="B1365" s="13"/>
      <c r="C1365" s="13"/>
      <c r="D1365" s="14"/>
      <c r="E1365" s="14"/>
      <c r="F1365" s="14"/>
    </row>
    <row r="1366" spans="1:6" s="11" customFormat="1" x14ac:dyDescent="0.25">
      <c r="A1366" s="12"/>
      <c r="B1366" s="13"/>
      <c r="C1366" s="13"/>
      <c r="D1366" s="14"/>
      <c r="E1366" s="14"/>
      <c r="F1366" s="14"/>
    </row>
    <row r="1367" spans="1:6" s="11" customFormat="1" x14ac:dyDescent="0.25">
      <c r="A1367" s="12"/>
      <c r="B1367" s="13"/>
      <c r="C1367" s="13"/>
      <c r="D1367" s="14"/>
      <c r="E1367" s="14"/>
      <c r="F1367" s="14"/>
    </row>
    <row r="1368" spans="1:6" s="11" customFormat="1" x14ac:dyDescent="0.25">
      <c r="A1368" s="12"/>
      <c r="B1368" s="13"/>
      <c r="C1368" s="13"/>
      <c r="D1368" s="14"/>
      <c r="E1368" s="14"/>
      <c r="F1368" s="14"/>
    </row>
    <row r="1369" spans="1:6" s="11" customFormat="1" x14ac:dyDescent="0.25">
      <c r="A1369" s="12"/>
      <c r="B1369" s="13"/>
      <c r="C1369" s="13"/>
      <c r="D1369" s="14"/>
      <c r="E1369" s="14"/>
      <c r="F1369" s="14"/>
    </row>
    <row r="1370" spans="1:6" s="11" customFormat="1" x14ac:dyDescent="0.25">
      <c r="A1370" s="12"/>
      <c r="B1370" s="13"/>
      <c r="C1370" s="13"/>
      <c r="D1370" s="14"/>
      <c r="E1370" s="14"/>
      <c r="F1370" s="14"/>
    </row>
    <row r="1371" spans="1:6" s="11" customFormat="1" x14ac:dyDescent="0.25">
      <c r="A1371" s="12"/>
      <c r="B1371" s="13"/>
      <c r="C1371" s="13"/>
      <c r="D1371" s="14"/>
      <c r="E1371" s="14"/>
      <c r="F1371" s="14"/>
    </row>
    <row r="1372" spans="1:6" s="11" customFormat="1" x14ac:dyDescent="0.25">
      <c r="A1372" s="12"/>
      <c r="B1372" s="13"/>
      <c r="C1372" s="13"/>
      <c r="D1372" s="14"/>
      <c r="E1372" s="14"/>
      <c r="F1372" s="14"/>
    </row>
    <row r="1373" spans="1:6" s="11" customFormat="1" x14ac:dyDescent="0.25">
      <c r="A1373" s="12"/>
      <c r="B1373" s="13"/>
      <c r="C1373" s="13"/>
      <c r="D1373" s="14"/>
      <c r="E1373" s="14"/>
      <c r="F1373" s="14"/>
    </row>
    <row r="1374" spans="1:6" s="11" customFormat="1" x14ac:dyDescent="0.25">
      <c r="A1374" s="12"/>
      <c r="B1374" s="13"/>
      <c r="C1374" s="13"/>
      <c r="D1374" s="14"/>
      <c r="E1374" s="14"/>
      <c r="F1374" s="14"/>
    </row>
    <row r="1375" spans="1:6" s="11" customFormat="1" x14ac:dyDescent="0.25">
      <c r="A1375" s="12"/>
      <c r="B1375" s="13"/>
      <c r="C1375" s="13"/>
      <c r="D1375" s="14"/>
      <c r="E1375" s="14"/>
      <c r="F1375" s="14"/>
    </row>
    <row r="1376" spans="1:6" s="11" customFormat="1" x14ac:dyDescent="0.25">
      <c r="A1376" s="12"/>
      <c r="B1376" s="13"/>
      <c r="C1376" s="13"/>
      <c r="D1376" s="14"/>
      <c r="E1376" s="14"/>
      <c r="F1376" s="14"/>
    </row>
    <row r="1377" spans="1:6" s="11" customFormat="1" x14ac:dyDescent="0.25">
      <c r="A1377" s="12"/>
      <c r="B1377" s="13"/>
      <c r="C1377" s="13"/>
      <c r="D1377" s="14"/>
      <c r="E1377" s="14"/>
      <c r="F1377" s="14"/>
    </row>
    <row r="1378" spans="1:6" s="11" customFormat="1" x14ac:dyDescent="0.25">
      <c r="A1378" s="12"/>
      <c r="B1378" s="13"/>
      <c r="C1378" s="13"/>
      <c r="D1378" s="14"/>
      <c r="E1378" s="14"/>
      <c r="F1378" s="14"/>
    </row>
    <row r="1379" spans="1:6" s="11" customFormat="1" x14ac:dyDescent="0.25">
      <c r="A1379" s="12"/>
      <c r="B1379" s="13"/>
      <c r="C1379" s="13"/>
      <c r="D1379" s="14"/>
      <c r="E1379" s="14"/>
      <c r="F1379" s="14"/>
    </row>
    <row r="1380" spans="1:6" s="11" customFormat="1" x14ac:dyDescent="0.25">
      <c r="A1380" s="12"/>
      <c r="B1380" s="13"/>
      <c r="C1380" s="13"/>
      <c r="D1380" s="14"/>
      <c r="E1380" s="14"/>
      <c r="F1380" s="14"/>
    </row>
    <row r="1381" spans="1:6" s="11" customFormat="1" x14ac:dyDescent="0.25">
      <c r="A1381" s="12"/>
      <c r="B1381" s="13"/>
      <c r="C1381" s="13"/>
      <c r="D1381" s="14"/>
      <c r="E1381" s="14"/>
      <c r="F1381" s="14"/>
    </row>
    <row r="1382" spans="1:6" s="11" customFormat="1" x14ac:dyDescent="0.25">
      <c r="A1382" s="12"/>
      <c r="B1382" s="13"/>
      <c r="C1382" s="13"/>
      <c r="D1382" s="14"/>
      <c r="E1382" s="14"/>
      <c r="F1382" s="14"/>
    </row>
    <row r="1383" spans="1:6" s="11" customFormat="1" x14ac:dyDescent="0.25">
      <c r="A1383" s="12"/>
      <c r="B1383" s="13"/>
      <c r="C1383" s="13"/>
      <c r="D1383" s="14"/>
      <c r="E1383" s="14"/>
      <c r="F1383" s="14"/>
    </row>
    <row r="1384" spans="1:6" s="11" customFormat="1" x14ac:dyDescent="0.25">
      <c r="A1384" s="12"/>
      <c r="B1384" s="13"/>
      <c r="C1384" s="13"/>
      <c r="D1384" s="14"/>
      <c r="E1384" s="14"/>
      <c r="F1384" s="14"/>
    </row>
    <row r="1385" spans="1:6" s="11" customFormat="1" x14ac:dyDescent="0.25">
      <c r="A1385" s="12"/>
      <c r="B1385" s="13"/>
      <c r="C1385" s="13"/>
      <c r="D1385" s="14"/>
      <c r="E1385" s="14"/>
      <c r="F1385" s="14"/>
    </row>
    <row r="1386" spans="1:6" s="11" customFormat="1" x14ac:dyDescent="0.25">
      <c r="A1386" s="12"/>
      <c r="B1386" s="13"/>
      <c r="C1386" s="13"/>
      <c r="D1386" s="14"/>
      <c r="E1386" s="14"/>
      <c r="F1386" s="14"/>
    </row>
    <row r="1387" spans="1:6" s="11" customFormat="1" x14ac:dyDescent="0.25">
      <c r="A1387" s="12"/>
      <c r="B1387" s="13"/>
      <c r="C1387" s="13"/>
      <c r="D1387" s="14"/>
      <c r="E1387" s="14"/>
      <c r="F1387" s="14"/>
    </row>
    <row r="1388" spans="1:6" s="11" customFormat="1" x14ac:dyDescent="0.25">
      <c r="A1388" s="12"/>
      <c r="B1388" s="13"/>
      <c r="C1388" s="13"/>
      <c r="D1388" s="14"/>
      <c r="E1388" s="14"/>
      <c r="F1388" s="14"/>
    </row>
    <row r="1389" spans="1:6" s="11" customFormat="1" x14ac:dyDescent="0.25">
      <c r="A1389" s="12"/>
      <c r="B1389" s="13"/>
      <c r="C1389" s="13"/>
      <c r="D1389" s="14"/>
      <c r="E1389" s="14"/>
      <c r="F1389" s="14"/>
    </row>
    <row r="1390" spans="1:6" s="11" customFormat="1" x14ac:dyDescent="0.25">
      <c r="A1390" s="12"/>
      <c r="B1390" s="13"/>
      <c r="C1390" s="13"/>
      <c r="D1390" s="14"/>
      <c r="E1390" s="14"/>
      <c r="F1390" s="14"/>
    </row>
    <row r="1391" spans="1:6" s="11" customFormat="1" x14ac:dyDescent="0.25">
      <c r="A1391" s="12"/>
      <c r="B1391" s="13"/>
      <c r="C1391" s="13"/>
      <c r="D1391" s="14"/>
      <c r="E1391" s="14"/>
      <c r="F1391" s="14"/>
    </row>
    <row r="1392" spans="1:6" s="11" customFormat="1" x14ac:dyDescent="0.25">
      <c r="A1392" s="12"/>
      <c r="B1392" s="13"/>
      <c r="C1392" s="13"/>
      <c r="D1392" s="14"/>
      <c r="E1392" s="14"/>
      <c r="F1392" s="14"/>
    </row>
    <row r="1393" spans="1:6" s="11" customFormat="1" x14ac:dyDescent="0.25">
      <c r="A1393" s="12"/>
      <c r="B1393" s="13"/>
      <c r="C1393" s="13"/>
      <c r="D1393" s="14"/>
      <c r="E1393" s="14"/>
      <c r="F1393" s="14"/>
    </row>
    <row r="1394" spans="1:6" s="11" customFormat="1" x14ac:dyDescent="0.25">
      <c r="A1394" s="12"/>
      <c r="B1394" s="13"/>
      <c r="C1394" s="13"/>
      <c r="D1394" s="14"/>
      <c r="E1394" s="14"/>
      <c r="F1394" s="14"/>
    </row>
    <row r="1395" spans="1:6" s="11" customFormat="1" x14ac:dyDescent="0.25">
      <c r="A1395" s="12"/>
      <c r="B1395" s="13"/>
      <c r="C1395" s="13"/>
      <c r="D1395" s="14"/>
      <c r="E1395" s="14"/>
      <c r="F1395" s="14"/>
    </row>
    <row r="1396" spans="1:6" s="11" customFormat="1" x14ac:dyDescent="0.25">
      <c r="A1396" s="12"/>
      <c r="B1396" s="13"/>
      <c r="C1396" s="13"/>
      <c r="D1396" s="14"/>
      <c r="E1396" s="14"/>
      <c r="F1396" s="14"/>
    </row>
    <row r="1397" spans="1:6" s="11" customFormat="1" x14ac:dyDescent="0.25">
      <c r="A1397" s="12"/>
      <c r="B1397" s="13"/>
      <c r="C1397" s="13"/>
      <c r="D1397" s="14"/>
      <c r="E1397" s="14"/>
      <c r="F1397" s="14"/>
    </row>
    <row r="1398" spans="1:6" s="11" customFormat="1" x14ac:dyDescent="0.25">
      <c r="A1398" s="12"/>
      <c r="B1398" s="13"/>
      <c r="C1398" s="13"/>
      <c r="D1398" s="14"/>
      <c r="E1398" s="14"/>
      <c r="F1398" s="14"/>
    </row>
    <row r="1399" spans="1:6" s="11" customFormat="1" x14ac:dyDescent="0.25">
      <c r="A1399" s="12"/>
      <c r="B1399" s="13"/>
      <c r="C1399" s="13"/>
      <c r="D1399" s="14"/>
      <c r="E1399" s="14"/>
      <c r="F1399" s="14"/>
    </row>
    <row r="1400" spans="1:6" s="11" customFormat="1" x14ac:dyDescent="0.25">
      <c r="A1400" s="12"/>
      <c r="B1400" s="13"/>
      <c r="C1400" s="13"/>
      <c r="D1400" s="14"/>
      <c r="E1400" s="14"/>
      <c r="F1400" s="14"/>
    </row>
    <row r="1401" spans="1:6" s="11" customFormat="1" x14ac:dyDescent="0.25">
      <c r="A1401" s="12"/>
      <c r="B1401" s="13"/>
      <c r="C1401" s="13"/>
      <c r="D1401" s="14"/>
      <c r="E1401" s="14"/>
      <c r="F1401" s="14"/>
    </row>
    <row r="1402" spans="1:6" s="11" customFormat="1" x14ac:dyDescent="0.25">
      <c r="A1402" s="12"/>
      <c r="B1402" s="13"/>
      <c r="C1402" s="13"/>
      <c r="D1402" s="14"/>
      <c r="E1402" s="14"/>
      <c r="F1402" s="14"/>
    </row>
    <row r="1403" spans="1:6" s="11" customFormat="1" x14ac:dyDescent="0.25">
      <c r="A1403" s="12"/>
      <c r="B1403" s="13"/>
      <c r="C1403" s="13"/>
      <c r="D1403" s="14"/>
      <c r="E1403" s="14"/>
      <c r="F1403" s="14"/>
    </row>
    <row r="1404" spans="1:6" s="11" customFormat="1" x14ac:dyDescent="0.25">
      <c r="A1404" s="12"/>
      <c r="B1404" s="13"/>
      <c r="C1404" s="13"/>
      <c r="D1404" s="14"/>
      <c r="E1404" s="14"/>
      <c r="F1404" s="14"/>
    </row>
    <row r="1405" spans="1:6" s="11" customFormat="1" x14ac:dyDescent="0.25">
      <c r="A1405" s="12"/>
      <c r="B1405" s="13"/>
      <c r="C1405" s="13"/>
      <c r="D1405" s="14"/>
      <c r="E1405" s="14"/>
      <c r="F1405" s="14"/>
    </row>
    <row r="1406" spans="1:6" s="11" customFormat="1" x14ac:dyDescent="0.25">
      <c r="A1406" s="12"/>
      <c r="B1406" s="13"/>
      <c r="C1406" s="13"/>
      <c r="D1406" s="14"/>
      <c r="E1406" s="14"/>
      <c r="F1406" s="14"/>
    </row>
    <row r="1407" spans="1:6" s="11" customFormat="1" x14ac:dyDescent="0.25">
      <c r="A1407" s="12"/>
      <c r="B1407" s="13"/>
      <c r="C1407" s="13"/>
      <c r="D1407" s="14"/>
      <c r="E1407" s="14"/>
      <c r="F1407" s="14"/>
    </row>
    <row r="1408" spans="1:6" s="11" customFormat="1" x14ac:dyDescent="0.25">
      <c r="A1408" s="12"/>
      <c r="B1408" s="13"/>
      <c r="C1408" s="13"/>
      <c r="D1408" s="14"/>
      <c r="E1408" s="14"/>
      <c r="F1408" s="14"/>
    </row>
    <row r="1409" spans="1:6" s="11" customFormat="1" x14ac:dyDescent="0.25">
      <c r="A1409" s="12"/>
      <c r="B1409" s="13"/>
      <c r="C1409" s="13"/>
      <c r="D1409" s="14"/>
      <c r="E1409" s="14"/>
      <c r="F1409" s="14"/>
    </row>
    <row r="1410" spans="1:6" s="11" customFormat="1" x14ac:dyDescent="0.25">
      <c r="A1410" s="12"/>
      <c r="B1410" s="13"/>
      <c r="C1410" s="13"/>
      <c r="D1410" s="14"/>
      <c r="E1410" s="14"/>
      <c r="F1410" s="14"/>
    </row>
    <row r="1411" spans="1:6" s="11" customFormat="1" x14ac:dyDescent="0.25">
      <c r="A1411" s="12"/>
      <c r="B1411" s="13"/>
      <c r="C1411" s="13"/>
      <c r="D1411" s="14"/>
      <c r="E1411" s="14"/>
      <c r="F1411" s="14"/>
    </row>
    <row r="1412" spans="1:6" s="11" customFormat="1" x14ac:dyDescent="0.25">
      <c r="A1412" s="12"/>
      <c r="B1412" s="13"/>
      <c r="C1412" s="13"/>
      <c r="D1412" s="14"/>
      <c r="E1412" s="14"/>
      <c r="F1412" s="14"/>
    </row>
    <row r="1413" spans="1:6" s="11" customFormat="1" x14ac:dyDescent="0.25">
      <c r="A1413" s="12"/>
      <c r="B1413" s="13"/>
      <c r="C1413" s="13"/>
      <c r="D1413" s="14"/>
      <c r="E1413" s="14"/>
      <c r="F1413" s="14"/>
    </row>
    <row r="1414" spans="1:6" s="11" customFormat="1" x14ac:dyDescent="0.25">
      <c r="A1414" s="12"/>
      <c r="B1414" s="13"/>
      <c r="C1414" s="13"/>
      <c r="D1414" s="14"/>
      <c r="E1414" s="14"/>
      <c r="F1414" s="14"/>
    </row>
    <row r="1415" spans="1:6" s="11" customFormat="1" x14ac:dyDescent="0.25">
      <c r="A1415" s="12"/>
      <c r="B1415" s="13"/>
      <c r="C1415" s="13"/>
      <c r="D1415" s="14"/>
      <c r="E1415" s="14"/>
      <c r="F1415" s="14"/>
    </row>
    <row r="1416" spans="1:6" s="11" customFormat="1" x14ac:dyDescent="0.25">
      <c r="A1416" s="12"/>
      <c r="B1416" s="13"/>
      <c r="C1416" s="13"/>
      <c r="D1416" s="14"/>
      <c r="E1416" s="14"/>
      <c r="F1416" s="14"/>
    </row>
    <row r="1417" spans="1:6" s="11" customFormat="1" x14ac:dyDescent="0.25">
      <c r="A1417" s="12"/>
      <c r="B1417" s="13"/>
      <c r="C1417" s="13"/>
      <c r="D1417" s="14"/>
      <c r="E1417" s="14"/>
      <c r="F1417" s="14"/>
    </row>
    <row r="1418" spans="1:6" s="11" customFormat="1" x14ac:dyDescent="0.25">
      <c r="A1418" s="12"/>
      <c r="B1418" s="13"/>
      <c r="C1418" s="13"/>
      <c r="D1418" s="14"/>
      <c r="E1418" s="14"/>
      <c r="F1418" s="14"/>
    </row>
    <row r="1419" spans="1:6" s="11" customFormat="1" x14ac:dyDescent="0.25">
      <c r="A1419" s="12"/>
      <c r="B1419" s="13"/>
      <c r="C1419" s="13"/>
      <c r="D1419" s="14"/>
      <c r="E1419" s="14"/>
      <c r="F1419" s="14"/>
    </row>
    <row r="1420" spans="1:6" s="11" customFormat="1" x14ac:dyDescent="0.25">
      <c r="A1420" s="12"/>
      <c r="B1420" s="13"/>
      <c r="C1420" s="13"/>
      <c r="D1420" s="14"/>
      <c r="E1420" s="14"/>
      <c r="F1420" s="14"/>
    </row>
    <row r="1421" spans="1:6" s="11" customFormat="1" x14ac:dyDescent="0.25">
      <c r="A1421" s="12"/>
      <c r="B1421" s="13"/>
      <c r="C1421" s="13"/>
      <c r="D1421" s="14"/>
      <c r="E1421" s="14"/>
      <c r="F1421" s="14"/>
    </row>
    <row r="1422" spans="1:6" s="11" customFormat="1" x14ac:dyDescent="0.25">
      <c r="A1422" s="12"/>
      <c r="B1422" s="13"/>
      <c r="C1422" s="13"/>
      <c r="D1422" s="14"/>
      <c r="E1422" s="14"/>
      <c r="F1422" s="14"/>
    </row>
    <row r="1423" spans="1:6" s="11" customFormat="1" x14ac:dyDescent="0.25">
      <c r="A1423" s="12"/>
      <c r="B1423" s="13"/>
      <c r="C1423" s="13"/>
      <c r="D1423" s="14"/>
      <c r="E1423" s="14"/>
      <c r="F1423" s="14"/>
    </row>
    <row r="1424" spans="1:6" s="11" customFormat="1" x14ac:dyDescent="0.25">
      <c r="A1424" s="12"/>
      <c r="B1424" s="13"/>
      <c r="C1424" s="13"/>
      <c r="D1424" s="14"/>
      <c r="E1424" s="14"/>
      <c r="F1424" s="14"/>
    </row>
    <row r="1425" spans="1:6" s="11" customFormat="1" x14ac:dyDescent="0.25">
      <c r="A1425" s="12"/>
      <c r="B1425" s="13"/>
      <c r="C1425" s="13"/>
      <c r="D1425" s="14"/>
      <c r="E1425" s="14"/>
      <c r="F1425" s="14"/>
    </row>
    <row r="1426" spans="1:6" s="11" customFormat="1" x14ac:dyDescent="0.25">
      <c r="A1426" s="12"/>
      <c r="B1426" s="13"/>
      <c r="C1426" s="13"/>
      <c r="D1426" s="14"/>
      <c r="E1426" s="14"/>
      <c r="F1426" s="14"/>
    </row>
    <row r="1427" spans="1:6" s="11" customFormat="1" x14ac:dyDescent="0.25">
      <c r="A1427" s="12"/>
      <c r="B1427" s="13"/>
      <c r="C1427" s="13"/>
      <c r="D1427" s="14"/>
      <c r="E1427" s="14"/>
      <c r="F1427" s="14"/>
    </row>
    <row r="1428" spans="1:6" s="11" customFormat="1" x14ac:dyDescent="0.25">
      <c r="A1428" s="12"/>
      <c r="B1428" s="13"/>
      <c r="C1428" s="13"/>
      <c r="D1428" s="14"/>
      <c r="E1428" s="14"/>
      <c r="F1428" s="14"/>
    </row>
    <row r="1429" spans="1:6" s="11" customFormat="1" x14ac:dyDescent="0.25">
      <c r="A1429" s="12"/>
      <c r="B1429" s="13"/>
      <c r="C1429" s="13"/>
      <c r="D1429" s="14"/>
      <c r="E1429" s="14"/>
      <c r="F1429" s="14"/>
    </row>
    <row r="1430" spans="1:6" s="11" customFormat="1" x14ac:dyDescent="0.25">
      <c r="A1430" s="12"/>
      <c r="B1430" s="13"/>
      <c r="C1430" s="13"/>
      <c r="D1430" s="14"/>
      <c r="E1430" s="14"/>
      <c r="F1430" s="14"/>
    </row>
    <row r="1431" spans="1:6" s="11" customFormat="1" x14ac:dyDescent="0.25">
      <c r="A1431" s="12"/>
      <c r="B1431" s="13"/>
      <c r="C1431" s="13"/>
      <c r="D1431" s="14"/>
      <c r="E1431" s="14"/>
      <c r="F1431" s="14"/>
    </row>
    <row r="1432" spans="1:6" s="11" customFormat="1" x14ac:dyDescent="0.25">
      <c r="A1432" s="12"/>
      <c r="B1432" s="13"/>
      <c r="C1432" s="13"/>
      <c r="D1432" s="14"/>
      <c r="E1432" s="14"/>
      <c r="F1432" s="14"/>
    </row>
    <row r="1433" spans="1:6" s="11" customFormat="1" x14ac:dyDescent="0.25">
      <c r="A1433" s="12"/>
      <c r="B1433" s="13"/>
      <c r="C1433" s="13"/>
      <c r="D1433" s="14"/>
      <c r="E1433" s="14"/>
      <c r="F1433" s="14"/>
    </row>
    <row r="1434" spans="1:6" s="11" customFormat="1" x14ac:dyDescent="0.25">
      <c r="A1434" s="12"/>
      <c r="B1434" s="13"/>
      <c r="C1434" s="13"/>
      <c r="D1434" s="14"/>
      <c r="E1434" s="14"/>
      <c r="F1434" s="14"/>
    </row>
    <row r="1435" spans="1:6" s="11" customFormat="1" x14ac:dyDescent="0.25">
      <c r="A1435" s="12"/>
      <c r="B1435" s="13"/>
      <c r="C1435" s="13"/>
      <c r="D1435" s="14"/>
      <c r="E1435" s="14"/>
      <c r="F1435" s="14"/>
    </row>
    <row r="1436" spans="1:6" s="11" customFormat="1" x14ac:dyDescent="0.25">
      <c r="A1436" s="12"/>
      <c r="B1436" s="13"/>
      <c r="C1436" s="13"/>
      <c r="D1436" s="14"/>
      <c r="E1436" s="14"/>
      <c r="F1436" s="14"/>
    </row>
    <row r="1437" spans="1:6" s="11" customFormat="1" x14ac:dyDescent="0.25">
      <c r="A1437" s="12"/>
      <c r="B1437" s="13"/>
      <c r="C1437" s="13"/>
      <c r="D1437" s="14"/>
      <c r="E1437" s="14"/>
      <c r="F1437" s="14"/>
    </row>
    <row r="1438" spans="1:6" s="11" customFormat="1" x14ac:dyDescent="0.25">
      <c r="A1438" s="12"/>
      <c r="B1438" s="13"/>
      <c r="C1438" s="13"/>
      <c r="D1438" s="14"/>
      <c r="E1438" s="14"/>
      <c r="F1438" s="14"/>
    </row>
    <row r="1439" spans="1:6" s="11" customFormat="1" x14ac:dyDescent="0.25">
      <c r="A1439" s="12"/>
      <c r="B1439" s="13"/>
      <c r="C1439" s="13"/>
      <c r="D1439" s="14"/>
      <c r="E1439" s="14"/>
      <c r="F1439" s="14"/>
    </row>
    <row r="1440" spans="1:6" s="11" customFormat="1" x14ac:dyDescent="0.25">
      <c r="A1440" s="12"/>
      <c r="B1440" s="13"/>
      <c r="C1440" s="13"/>
      <c r="D1440" s="14"/>
      <c r="E1440" s="14"/>
      <c r="F1440" s="14"/>
    </row>
    <row r="1441" spans="1:6" s="11" customFormat="1" x14ac:dyDescent="0.25">
      <c r="A1441" s="12"/>
      <c r="B1441" s="13"/>
      <c r="C1441" s="13"/>
      <c r="D1441" s="14"/>
      <c r="E1441" s="14"/>
      <c r="F1441" s="14"/>
    </row>
    <row r="1442" spans="1:6" s="11" customFormat="1" x14ac:dyDescent="0.25">
      <c r="A1442" s="12"/>
      <c r="B1442" s="13"/>
      <c r="C1442" s="13"/>
      <c r="D1442" s="14"/>
      <c r="E1442" s="14"/>
      <c r="F1442" s="14"/>
    </row>
    <row r="1443" spans="1:6" s="11" customFormat="1" x14ac:dyDescent="0.25">
      <c r="A1443" s="12"/>
      <c r="B1443" s="13"/>
      <c r="C1443" s="13"/>
      <c r="D1443" s="14"/>
      <c r="E1443" s="14"/>
      <c r="F1443" s="14"/>
    </row>
    <row r="1444" spans="1:6" s="11" customFormat="1" x14ac:dyDescent="0.25">
      <c r="A1444" s="12"/>
      <c r="B1444" s="13"/>
      <c r="C1444" s="13"/>
      <c r="D1444" s="14"/>
      <c r="E1444" s="14"/>
      <c r="F1444" s="14"/>
    </row>
    <row r="1445" spans="1:6" s="11" customFormat="1" x14ac:dyDescent="0.25">
      <c r="A1445" s="12"/>
      <c r="B1445" s="13"/>
      <c r="C1445" s="13"/>
      <c r="D1445" s="14"/>
      <c r="E1445" s="14"/>
      <c r="F1445" s="14"/>
    </row>
    <row r="1446" spans="1:6" s="11" customFormat="1" x14ac:dyDescent="0.25">
      <c r="A1446" s="12"/>
      <c r="B1446" s="13"/>
      <c r="C1446" s="13"/>
      <c r="D1446" s="14"/>
      <c r="E1446" s="14"/>
      <c r="F1446" s="14"/>
    </row>
    <row r="1447" spans="1:6" s="11" customFormat="1" x14ac:dyDescent="0.25">
      <c r="A1447" s="12"/>
      <c r="B1447" s="13"/>
      <c r="C1447" s="13"/>
      <c r="D1447" s="14"/>
      <c r="E1447" s="14"/>
      <c r="F1447" s="14"/>
    </row>
    <row r="1448" spans="1:6" s="11" customFormat="1" x14ac:dyDescent="0.25">
      <c r="A1448" s="12"/>
      <c r="B1448" s="13"/>
      <c r="C1448" s="13"/>
      <c r="D1448" s="14"/>
      <c r="E1448" s="14"/>
      <c r="F1448" s="14"/>
    </row>
    <row r="1449" spans="1:6" s="11" customFormat="1" x14ac:dyDescent="0.25">
      <c r="A1449" s="12"/>
      <c r="B1449" s="13"/>
      <c r="C1449" s="13"/>
      <c r="D1449" s="14"/>
      <c r="E1449" s="14"/>
      <c r="F1449" s="14"/>
    </row>
    <row r="1450" spans="1:6" s="11" customFormat="1" x14ac:dyDescent="0.25">
      <c r="A1450" s="12"/>
      <c r="B1450" s="13"/>
      <c r="C1450" s="13"/>
      <c r="D1450" s="14"/>
      <c r="E1450" s="14"/>
      <c r="F1450" s="14"/>
    </row>
    <row r="1451" spans="1:6" s="11" customFormat="1" x14ac:dyDescent="0.25">
      <c r="A1451" s="12"/>
      <c r="B1451" s="13"/>
      <c r="C1451" s="13"/>
      <c r="D1451" s="14"/>
      <c r="E1451" s="14"/>
      <c r="F1451" s="14"/>
    </row>
    <row r="1452" spans="1:6" s="11" customFormat="1" x14ac:dyDescent="0.25">
      <c r="A1452" s="12"/>
      <c r="B1452" s="13"/>
      <c r="C1452" s="13"/>
      <c r="D1452" s="14"/>
      <c r="E1452" s="14"/>
      <c r="F1452" s="14"/>
    </row>
    <row r="1453" spans="1:6" s="11" customFormat="1" x14ac:dyDescent="0.25">
      <c r="A1453" s="12"/>
      <c r="B1453" s="13"/>
      <c r="C1453" s="13"/>
      <c r="D1453" s="14"/>
      <c r="E1453" s="14"/>
      <c r="F1453" s="14"/>
    </row>
    <row r="1454" spans="1:6" s="11" customFormat="1" x14ac:dyDescent="0.25">
      <c r="A1454" s="12"/>
      <c r="B1454" s="13"/>
      <c r="C1454" s="13"/>
      <c r="D1454" s="14"/>
      <c r="E1454" s="14"/>
      <c r="F1454" s="14"/>
    </row>
    <row r="1455" spans="1:6" s="11" customFormat="1" x14ac:dyDescent="0.25">
      <c r="A1455" s="12"/>
      <c r="B1455" s="13"/>
      <c r="C1455" s="13"/>
      <c r="D1455" s="14"/>
      <c r="E1455" s="14"/>
      <c r="F1455" s="14"/>
    </row>
    <row r="1456" spans="1:6" s="11" customFormat="1" x14ac:dyDescent="0.25">
      <c r="A1456" s="12"/>
      <c r="B1456" s="13"/>
      <c r="C1456" s="13"/>
      <c r="D1456" s="14"/>
      <c r="E1456" s="14"/>
      <c r="F1456" s="14"/>
    </row>
    <row r="1457" spans="1:6" s="11" customFormat="1" x14ac:dyDescent="0.25">
      <c r="A1457" s="12"/>
      <c r="B1457" s="13"/>
      <c r="C1457" s="13"/>
      <c r="D1457" s="14"/>
      <c r="E1457" s="14"/>
      <c r="F1457" s="14"/>
    </row>
    <row r="1458" spans="1:6" s="11" customFormat="1" x14ac:dyDescent="0.25">
      <c r="A1458" s="12"/>
      <c r="B1458" s="13"/>
      <c r="C1458" s="13"/>
      <c r="D1458" s="14"/>
      <c r="E1458" s="14"/>
      <c r="F1458" s="14"/>
    </row>
    <row r="1459" spans="1:6" s="11" customFormat="1" x14ac:dyDescent="0.25">
      <c r="A1459" s="12"/>
      <c r="B1459" s="13"/>
      <c r="C1459" s="13"/>
      <c r="D1459" s="14"/>
      <c r="E1459" s="14"/>
      <c r="F1459" s="14"/>
    </row>
    <row r="1460" spans="1:6" s="11" customFormat="1" x14ac:dyDescent="0.25">
      <c r="A1460" s="12"/>
      <c r="B1460" s="13"/>
      <c r="C1460" s="13"/>
      <c r="D1460" s="14"/>
      <c r="E1460" s="14"/>
      <c r="F1460" s="14"/>
    </row>
    <row r="1461" spans="1:6" s="11" customFormat="1" x14ac:dyDescent="0.25">
      <c r="A1461" s="12"/>
      <c r="B1461" s="13"/>
      <c r="C1461" s="13"/>
      <c r="D1461" s="14"/>
      <c r="E1461" s="14"/>
      <c r="F1461" s="14"/>
    </row>
    <row r="1462" spans="1:6" s="11" customFormat="1" x14ac:dyDescent="0.25">
      <c r="A1462" s="12"/>
      <c r="B1462" s="13"/>
      <c r="C1462" s="13"/>
      <c r="D1462" s="14"/>
      <c r="E1462" s="14"/>
      <c r="F1462" s="14"/>
    </row>
    <row r="1463" spans="1:6" s="11" customFormat="1" x14ac:dyDescent="0.25">
      <c r="A1463" s="12"/>
      <c r="B1463" s="13"/>
      <c r="C1463" s="13"/>
      <c r="D1463" s="14"/>
      <c r="E1463" s="14"/>
      <c r="F1463" s="14"/>
    </row>
    <row r="1464" spans="1:6" s="11" customFormat="1" x14ac:dyDescent="0.25">
      <c r="A1464" s="12"/>
      <c r="B1464" s="13"/>
      <c r="C1464" s="13"/>
      <c r="D1464" s="14"/>
      <c r="E1464" s="14"/>
      <c r="F1464" s="14"/>
    </row>
    <row r="1465" spans="1:6" s="11" customFormat="1" x14ac:dyDescent="0.25">
      <c r="A1465" s="12"/>
      <c r="B1465" s="13"/>
      <c r="C1465" s="13"/>
      <c r="D1465" s="14"/>
      <c r="E1465" s="14"/>
      <c r="F1465" s="14"/>
    </row>
    <row r="1466" spans="1:6" s="11" customFormat="1" x14ac:dyDescent="0.25">
      <c r="A1466" s="12"/>
      <c r="B1466" s="13"/>
      <c r="C1466" s="13"/>
      <c r="D1466" s="14"/>
      <c r="E1466" s="14"/>
      <c r="F1466" s="14"/>
    </row>
    <row r="1467" spans="1:6" s="11" customFormat="1" x14ac:dyDescent="0.25">
      <c r="A1467" s="12"/>
      <c r="B1467" s="13"/>
      <c r="C1467" s="13"/>
      <c r="D1467" s="14"/>
      <c r="E1467" s="14"/>
      <c r="F1467" s="14"/>
    </row>
    <row r="1468" spans="1:6" s="11" customFormat="1" x14ac:dyDescent="0.25">
      <c r="A1468" s="12"/>
      <c r="B1468" s="13"/>
      <c r="C1468" s="13"/>
      <c r="D1468" s="14"/>
      <c r="E1468" s="14"/>
      <c r="F1468" s="14"/>
    </row>
    <row r="1469" spans="1:6" s="11" customFormat="1" x14ac:dyDescent="0.25">
      <c r="A1469" s="12"/>
      <c r="B1469" s="13"/>
      <c r="C1469" s="13"/>
      <c r="D1469" s="14"/>
      <c r="E1469" s="14"/>
      <c r="F1469" s="14"/>
    </row>
    <row r="1470" spans="1:6" s="11" customFormat="1" x14ac:dyDescent="0.25">
      <c r="A1470" s="12"/>
      <c r="B1470" s="13"/>
      <c r="C1470" s="13"/>
      <c r="D1470" s="14"/>
      <c r="E1470" s="14"/>
      <c r="F1470" s="14"/>
    </row>
    <row r="1471" spans="1:6" s="11" customFormat="1" x14ac:dyDescent="0.25">
      <c r="A1471" s="12"/>
      <c r="B1471" s="13"/>
      <c r="C1471" s="13"/>
      <c r="D1471" s="14"/>
      <c r="E1471" s="14"/>
      <c r="F1471" s="14"/>
    </row>
    <row r="1472" spans="1:6" s="11" customFormat="1" x14ac:dyDescent="0.25">
      <c r="A1472" s="12"/>
      <c r="B1472" s="13"/>
      <c r="C1472" s="13"/>
      <c r="D1472" s="14"/>
      <c r="E1472" s="14"/>
      <c r="F1472" s="14"/>
    </row>
    <row r="1473" spans="1:6" s="11" customFormat="1" x14ac:dyDescent="0.25">
      <c r="A1473" s="12"/>
      <c r="B1473" s="13"/>
      <c r="C1473" s="13"/>
      <c r="D1473" s="14"/>
      <c r="E1473" s="14"/>
      <c r="F1473" s="14"/>
    </row>
    <row r="1474" spans="1:6" s="11" customFormat="1" x14ac:dyDescent="0.25">
      <c r="A1474" s="12"/>
      <c r="B1474" s="13"/>
      <c r="C1474" s="13"/>
      <c r="D1474" s="14"/>
      <c r="E1474" s="14"/>
      <c r="F1474" s="14"/>
    </row>
    <row r="1475" spans="1:6" s="11" customFormat="1" x14ac:dyDescent="0.25">
      <c r="A1475" s="12"/>
      <c r="B1475" s="13"/>
      <c r="C1475" s="13"/>
      <c r="D1475" s="14"/>
      <c r="E1475" s="14"/>
      <c r="F1475" s="14"/>
    </row>
    <row r="1476" spans="1:6" s="11" customFormat="1" x14ac:dyDescent="0.25">
      <c r="A1476" s="12"/>
      <c r="B1476" s="13"/>
      <c r="C1476" s="13"/>
      <c r="D1476" s="14"/>
      <c r="E1476" s="14"/>
      <c r="F1476" s="14"/>
    </row>
    <row r="1477" spans="1:6" s="11" customFormat="1" x14ac:dyDescent="0.25">
      <c r="A1477" s="12"/>
      <c r="B1477" s="13"/>
      <c r="C1477" s="13"/>
      <c r="D1477" s="14"/>
      <c r="E1477" s="14"/>
      <c r="F1477" s="14"/>
    </row>
    <row r="1478" spans="1:6" s="11" customFormat="1" x14ac:dyDescent="0.25">
      <c r="A1478" s="12"/>
      <c r="B1478" s="13"/>
      <c r="C1478" s="13"/>
      <c r="D1478" s="14"/>
      <c r="E1478" s="14"/>
      <c r="F1478" s="14"/>
    </row>
    <row r="1479" spans="1:6" s="11" customFormat="1" x14ac:dyDescent="0.25">
      <c r="A1479" s="12"/>
      <c r="B1479" s="13"/>
      <c r="C1479" s="13"/>
      <c r="D1479" s="14"/>
      <c r="E1479" s="14"/>
      <c r="F1479" s="14"/>
    </row>
    <row r="1480" spans="1:6" s="11" customFormat="1" x14ac:dyDescent="0.25">
      <c r="A1480" s="12"/>
      <c r="B1480" s="13"/>
      <c r="C1480" s="13"/>
      <c r="D1480" s="14"/>
      <c r="E1480" s="14"/>
      <c r="F1480" s="14"/>
    </row>
    <row r="1481" spans="1:6" s="11" customFormat="1" x14ac:dyDescent="0.25">
      <c r="A1481" s="12"/>
      <c r="B1481" s="13"/>
      <c r="C1481" s="13"/>
      <c r="D1481" s="14"/>
      <c r="E1481" s="14"/>
      <c r="F1481" s="14"/>
    </row>
    <row r="1482" spans="1:6" s="11" customFormat="1" x14ac:dyDescent="0.25">
      <c r="A1482" s="12"/>
      <c r="B1482" s="13"/>
      <c r="C1482" s="13"/>
      <c r="D1482" s="14"/>
      <c r="E1482" s="14"/>
      <c r="F1482" s="14"/>
    </row>
    <row r="1483" spans="1:6" s="11" customFormat="1" x14ac:dyDescent="0.25">
      <c r="A1483" s="12"/>
      <c r="B1483" s="13"/>
      <c r="C1483" s="13"/>
      <c r="D1483" s="14"/>
      <c r="E1483" s="14"/>
      <c r="F1483" s="14"/>
    </row>
    <row r="1484" spans="1:6" s="11" customFormat="1" x14ac:dyDescent="0.25">
      <c r="A1484" s="12"/>
      <c r="B1484" s="13"/>
      <c r="C1484" s="13"/>
      <c r="D1484" s="14"/>
      <c r="E1484" s="14"/>
      <c r="F1484" s="14"/>
    </row>
    <row r="1485" spans="1:6" s="11" customFormat="1" x14ac:dyDescent="0.25">
      <c r="A1485" s="12"/>
      <c r="B1485" s="13"/>
      <c r="C1485" s="13"/>
      <c r="D1485" s="14"/>
      <c r="E1485" s="14"/>
      <c r="F1485" s="14"/>
    </row>
    <row r="1486" spans="1:6" s="11" customFormat="1" x14ac:dyDescent="0.25">
      <c r="A1486" s="12"/>
      <c r="B1486" s="13"/>
      <c r="C1486" s="13"/>
      <c r="D1486" s="14"/>
      <c r="E1486" s="14"/>
      <c r="F1486" s="14"/>
    </row>
    <row r="1487" spans="1:6" s="11" customFormat="1" x14ac:dyDescent="0.25">
      <c r="A1487" s="12"/>
      <c r="B1487" s="13"/>
      <c r="C1487" s="13"/>
      <c r="D1487" s="14"/>
      <c r="E1487" s="14"/>
      <c r="F1487" s="14"/>
    </row>
    <row r="1488" spans="1:6" s="11" customFormat="1" x14ac:dyDescent="0.25">
      <c r="A1488" s="12"/>
      <c r="B1488" s="13"/>
      <c r="C1488" s="13"/>
      <c r="D1488" s="14"/>
      <c r="E1488" s="14"/>
      <c r="F1488" s="14"/>
    </row>
    <row r="1489" spans="1:6" s="11" customFormat="1" x14ac:dyDescent="0.25">
      <c r="A1489" s="12"/>
      <c r="B1489" s="13"/>
      <c r="C1489" s="13"/>
      <c r="D1489" s="14"/>
      <c r="E1489" s="14"/>
      <c r="F1489" s="14"/>
    </row>
    <row r="1490" spans="1:6" s="11" customFormat="1" x14ac:dyDescent="0.25">
      <c r="A1490" s="12"/>
      <c r="B1490" s="13"/>
      <c r="C1490" s="13"/>
      <c r="D1490" s="14"/>
      <c r="E1490" s="14"/>
      <c r="F1490" s="14"/>
    </row>
    <row r="1491" spans="1:6" s="11" customFormat="1" x14ac:dyDescent="0.25">
      <c r="A1491" s="12"/>
      <c r="B1491" s="13"/>
      <c r="C1491" s="13"/>
      <c r="D1491" s="14"/>
      <c r="E1491" s="14"/>
      <c r="F1491" s="14"/>
    </row>
    <row r="1492" spans="1:6" s="11" customFormat="1" x14ac:dyDescent="0.25">
      <c r="A1492" s="12"/>
      <c r="B1492" s="13"/>
      <c r="C1492" s="13"/>
      <c r="D1492" s="14"/>
      <c r="E1492" s="14"/>
      <c r="F1492" s="14"/>
    </row>
    <row r="1493" spans="1:6" s="11" customFormat="1" x14ac:dyDescent="0.25">
      <c r="A1493" s="12"/>
      <c r="B1493" s="13"/>
      <c r="C1493" s="13"/>
      <c r="D1493" s="14"/>
      <c r="E1493" s="14"/>
      <c r="F1493" s="14"/>
    </row>
    <row r="1494" spans="1:6" s="11" customFormat="1" x14ac:dyDescent="0.25">
      <c r="A1494" s="12"/>
      <c r="B1494" s="13"/>
      <c r="C1494" s="13"/>
      <c r="D1494" s="14"/>
      <c r="E1494" s="14"/>
      <c r="F1494" s="14"/>
    </row>
    <row r="1495" spans="1:6" s="11" customFormat="1" x14ac:dyDescent="0.25">
      <c r="A1495" s="12"/>
      <c r="B1495" s="13"/>
      <c r="C1495" s="13"/>
      <c r="D1495" s="14"/>
      <c r="E1495" s="14"/>
      <c r="F1495" s="14"/>
    </row>
    <row r="1496" spans="1:6" s="11" customFormat="1" x14ac:dyDescent="0.25">
      <c r="A1496" s="12"/>
      <c r="B1496" s="13"/>
      <c r="C1496" s="13"/>
      <c r="D1496" s="14"/>
      <c r="E1496" s="14"/>
      <c r="F1496" s="14"/>
    </row>
    <row r="1497" spans="1:6" s="11" customFormat="1" x14ac:dyDescent="0.25">
      <c r="A1497" s="12"/>
      <c r="B1497" s="13"/>
      <c r="C1497" s="13"/>
      <c r="D1497" s="14"/>
      <c r="E1497" s="14"/>
      <c r="F1497" s="14"/>
    </row>
    <row r="1498" spans="1:6" s="11" customFormat="1" x14ac:dyDescent="0.25">
      <c r="A1498" s="12"/>
      <c r="B1498" s="13"/>
      <c r="C1498" s="13"/>
      <c r="D1498" s="14"/>
      <c r="E1498" s="14"/>
      <c r="F1498" s="14"/>
    </row>
    <row r="1499" spans="1:6" s="11" customFormat="1" x14ac:dyDescent="0.25">
      <c r="A1499" s="12"/>
      <c r="B1499" s="13"/>
      <c r="C1499" s="13"/>
      <c r="D1499" s="14"/>
      <c r="E1499" s="14"/>
      <c r="F1499" s="14"/>
    </row>
    <row r="1500" spans="1:6" s="11" customFormat="1" x14ac:dyDescent="0.25">
      <c r="A1500" s="12"/>
      <c r="B1500" s="13"/>
      <c r="C1500" s="13"/>
      <c r="D1500" s="14"/>
      <c r="E1500" s="14"/>
      <c r="F1500" s="14"/>
    </row>
    <row r="1501" spans="1:6" s="11" customFormat="1" x14ac:dyDescent="0.25">
      <c r="A1501" s="12"/>
      <c r="B1501" s="13"/>
      <c r="C1501" s="13"/>
      <c r="D1501" s="14"/>
      <c r="E1501" s="14"/>
      <c r="F1501" s="14"/>
    </row>
    <row r="1502" spans="1:6" s="11" customFormat="1" x14ac:dyDescent="0.25">
      <c r="A1502" s="12"/>
      <c r="B1502" s="13"/>
      <c r="C1502" s="13"/>
      <c r="D1502" s="14"/>
      <c r="E1502" s="14"/>
      <c r="F1502" s="14"/>
    </row>
    <row r="1503" spans="1:6" s="11" customFormat="1" x14ac:dyDescent="0.25">
      <c r="A1503" s="12"/>
      <c r="B1503" s="13"/>
      <c r="C1503" s="13"/>
      <c r="D1503" s="14"/>
      <c r="E1503" s="14"/>
      <c r="F1503" s="14"/>
    </row>
    <row r="1504" spans="1:6" s="11" customFormat="1" x14ac:dyDescent="0.25">
      <c r="A1504" s="12"/>
      <c r="B1504" s="13"/>
      <c r="C1504" s="13"/>
      <c r="D1504" s="14"/>
      <c r="E1504" s="14"/>
      <c r="F1504" s="14"/>
    </row>
    <row r="1505" spans="1:6" s="11" customFormat="1" x14ac:dyDescent="0.25">
      <c r="A1505" s="12"/>
      <c r="B1505" s="13"/>
      <c r="C1505" s="13"/>
      <c r="D1505" s="14"/>
      <c r="E1505" s="14"/>
      <c r="F1505" s="14"/>
    </row>
    <row r="1506" spans="1:6" s="11" customFormat="1" x14ac:dyDescent="0.25">
      <c r="A1506" s="12"/>
      <c r="B1506" s="13"/>
      <c r="C1506" s="13"/>
      <c r="D1506" s="14"/>
      <c r="E1506" s="14"/>
      <c r="F1506" s="14"/>
    </row>
    <row r="1507" spans="1:6" s="11" customFormat="1" x14ac:dyDescent="0.25">
      <c r="A1507" s="12"/>
      <c r="B1507" s="13"/>
      <c r="C1507" s="13"/>
      <c r="D1507" s="14"/>
      <c r="E1507" s="14"/>
      <c r="F1507" s="14"/>
    </row>
    <row r="1508" spans="1:6" s="11" customFormat="1" x14ac:dyDescent="0.25">
      <c r="A1508" s="12"/>
      <c r="B1508" s="13"/>
      <c r="C1508" s="13"/>
      <c r="D1508" s="14"/>
      <c r="E1508" s="14"/>
      <c r="F1508" s="14"/>
    </row>
    <row r="1509" spans="1:6" s="11" customFormat="1" x14ac:dyDescent="0.25">
      <c r="A1509" s="12"/>
      <c r="B1509" s="13"/>
      <c r="C1509" s="13"/>
      <c r="D1509" s="14"/>
      <c r="E1509" s="14"/>
      <c r="F1509" s="14"/>
    </row>
    <row r="1510" spans="1:6" s="11" customFormat="1" x14ac:dyDescent="0.25">
      <c r="A1510" s="12"/>
      <c r="B1510" s="13"/>
      <c r="C1510" s="13"/>
      <c r="D1510" s="14"/>
      <c r="E1510" s="14"/>
      <c r="F1510" s="14"/>
    </row>
    <row r="1511" spans="1:6" s="11" customFormat="1" x14ac:dyDescent="0.25">
      <c r="A1511" s="12"/>
      <c r="B1511" s="13"/>
      <c r="C1511" s="13"/>
      <c r="D1511" s="14"/>
      <c r="E1511" s="14"/>
      <c r="F1511" s="14"/>
    </row>
    <row r="1512" spans="1:6" s="11" customFormat="1" x14ac:dyDescent="0.25">
      <c r="A1512" s="12"/>
      <c r="B1512" s="13"/>
      <c r="C1512" s="13"/>
      <c r="D1512" s="14"/>
      <c r="E1512" s="14"/>
      <c r="F1512" s="14"/>
    </row>
    <row r="1513" spans="1:6" s="11" customFormat="1" x14ac:dyDescent="0.25">
      <c r="A1513" s="12"/>
      <c r="B1513" s="13"/>
      <c r="C1513" s="13"/>
      <c r="D1513" s="14"/>
      <c r="E1513" s="14"/>
      <c r="F1513" s="14"/>
    </row>
    <row r="1514" spans="1:6" s="11" customFormat="1" x14ac:dyDescent="0.25">
      <c r="A1514" s="12"/>
      <c r="B1514" s="13"/>
      <c r="C1514" s="13"/>
      <c r="D1514" s="14"/>
      <c r="E1514" s="14"/>
      <c r="F1514" s="14"/>
    </row>
    <row r="1515" spans="1:6" s="11" customFormat="1" x14ac:dyDescent="0.25">
      <c r="A1515" s="12"/>
      <c r="B1515" s="13"/>
      <c r="C1515" s="13"/>
      <c r="D1515" s="14"/>
      <c r="E1515" s="14"/>
      <c r="F1515" s="14"/>
    </row>
    <row r="1516" spans="1:6" s="11" customFormat="1" x14ac:dyDescent="0.25">
      <c r="A1516" s="12"/>
      <c r="B1516" s="13"/>
      <c r="C1516" s="13"/>
      <c r="D1516" s="14"/>
      <c r="E1516" s="14"/>
      <c r="F1516" s="14"/>
    </row>
    <row r="1517" spans="1:6" s="11" customFormat="1" x14ac:dyDescent="0.25">
      <c r="A1517" s="12"/>
      <c r="B1517" s="13"/>
      <c r="C1517" s="13"/>
      <c r="D1517" s="14"/>
      <c r="E1517" s="14"/>
      <c r="F1517" s="14"/>
    </row>
    <row r="1518" spans="1:6" s="11" customFormat="1" x14ac:dyDescent="0.25">
      <c r="A1518" s="12"/>
      <c r="B1518" s="13"/>
      <c r="C1518" s="13"/>
      <c r="D1518" s="14"/>
      <c r="E1518" s="14"/>
      <c r="F1518" s="14"/>
    </row>
    <row r="1519" spans="1:6" s="11" customFormat="1" x14ac:dyDescent="0.25">
      <c r="A1519" s="12"/>
      <c r="B1519" s="13"/>
      <c r="C1519" s="13"/>
      <c r="D1519" s="14"/>
      <c r="E1519" s="14"/>
      <c r="F1519" s="14"/>
    </row>
    <row r="1520" spans="1:6" s="11" customFormat="1" x14ac:dyDescent="0.25">
      <c r="A1520" s="12"/>
      <c r="B1520" s="13"/>
      <c r="C1520" s="13"/>
      <c r="D1520" s="14"/>
      <c r="E1520" s="14"/>
      <c r="F1520" s="14"/>
    </row>
    <row r="1521" spans="1:6" s="11" customFormat="1" x14ac:dyDescent="0.25">
      <c r="A1521" s="12"/>
      <c r="B1521" s="13"/>
      <c r="C1521" s="13"/>
      <c r="D1521" s="14"/>
      <c r="E1521" s="14"/>
      <c r="F1521" s="14"/>
    </row>
    <row r="1522" spans="1:6" s="11" customFormat="1" x14ac:dyDescent="0.25">
      <c r="A1522" s="12"/>
      <c r="B1522" s="13"/>
      <c r="C1522" s="13"/>
      <c r="D1522" s="14"/>
      <c r="E1522" s="14"/>
      <c r="F1522" s="14"/>
    </row>
    <row r="1523" spans="1:6" s="11" customFormat="1" x14ac:dyDescent="0.25">
      <c r="A1523" s="12"/>
      <c r="B1523" s="13"/>
      <c r="C1523" s="13"/>
      <c r="D1523" s="14"/>
      <c r="E1523" s="14"/>
      <c r="F1523" s="14"/>
    </row>
    <row r="1524" spans="1:6" s="11" customFormat="1" x14ac:dyDescent="0.25">
      <c r="A1524" s="12"/>
      <c r="B1524" s="13"/>
      <c r="C1524" s="13"/>
      <c r="D1524" s="14"/>
      <c r="E1524" s="14"/>
      <c r="F1524" s="14"/>
    </row>
    <row r="1525" spans="1:6" s="11" customFormat="1" x14ac:dyDescent="0.25">
      <c r="A1525" s="12"/>
      <c r="B1525" s="13"/>
      <c r="C1525" s="13"/>
      <c r="D1525" s="14"/>
      <c r="E1525" s="14"/>
      <c r="F1525" s="14"/>
    </row>
    <row r="1526" spans="1:6" s="11" customFormat="1" x14ac:dyDescent="0.25">
      <c r="A1526" s="12"/>
      <c r="B1526" s="13"/>
      <c r="C1526" s="13"/>
      <c r="D1526" s="14"/>
      <c r="E1526" s="14"/>
      <c r="F1526" s="14"/>
    </row>
    <row r="1527" spans="1:6" s="11" customFormat="1" x14ac:dyDescent="0.25">
      <c r="A1527" s="12"/>
      <c r="B1527" s="13"/>
      <c r="C1527" s="13"/>
      <c r="D1527" s="14"/>
      <c r="E1527" s="14"/>
      <c r="F1527" s="14"/>
    </row>
    <row r="1528" spans="1:6" s="11" customFormat="1" x14ac:dyDescent="0.25">
      <c r="A1528" s="12"/>
      <c r="B1528" s="13"/>
      <c r="C1528" s="13"/>
      <c r="D1528" s="14"/>
      <c r="E1528" s="14"/>
      <c r="F1528" s="14"/>
    </row>
    <row r="1529" spans="1:6" s="11" customFormat="1" x14ac:dyDescent="0.25">
      <c r="A1529" s="12"/>
      <c r="B1529" s="13"/>
      <c r="C1529" s="13"/>
      <c r="D1529" s="14"/>
      <c r="E1529" s="14"/>
      <c r="F1529" s="14"/>
    </row>
    <row r="1530" spans="1:6" s="11" customFormat="1" x14ac:dyDescent="0.25">
      <c r="A1530" s="12"/>
      <c r="B1530" s="13"/>
      <c r="C1530" s="13"/>
      <c r="D1530" s="14"/>
      <c r="E1530" s="14"/>
      <c r="F1530" s="14"/>
    </row>
    <row r="1531" spans="1:6" s="11" customFormat="1" x14ac:dyDescent="0.25">
      <c r="A1531" s="12"/>
      <c r="B1531" s="13"/>
      <c r="C1531" s="13"/>
      <c r="D1531" s="14"/>
      <c r="E1531" s="14"/>
      <c r="F1531" s="14"/>
    </row>
    <row r="1532" spans="1:6" s="11" customFormat="1" x14ac:dyDescent="0.25">
      <c r="A1532" s="12"/>
      <c r="B1532" s="13"/>
      <c r="C1532" s="13"/>
      <c r="D1532" s="14"/>
      <c r="E1532" s="14"/>
      <c r="F1532" s="14"/>
    </row>
    <row r="1533" spans="1:6" s="11" customFormat="1" x14ac:dyDescent="0.25">
      <c r="A1533" s="12"/>
      <c r="B1533" s="13"/>
      <c r="C1533" s="13"/>
      <c r="D1533" s="14"/>
      <c r="E1533" s="14"/>
      <c r="F1533" s="14"/>
    </row>
    <row r="1534" spans="1:6" s="11" customFormat="1" x14ac:dyDescent="0.25">
      <c r="A1534" s="12"/>
      <c r="B1534" s="13"/>
      <c r="C1534" s="13"/>
      <c r="D1534" s="14"/>
      <c r="E1534" s="14"/>
      <c r="F1534" s="14"/>
    </row>
    <row r="1535" spans="1:6" s="11" customFormat="1" x14ac:dyDescent="0.25">
      <c r="A1535" s="12"/>
      <c r="B1535" s="13"/>
      <c r="C1535" s="13"/>
      <c r="D1535" s="14"/>
      <c r="E1535" s="14"/>
      <c r="F1535" s="14"/>
    </row>
    <row r="1536" spans="1:6" s="11" customFormat="1" x14ac:dyDescent="0.25">
      <c r="A1536" s="12"/>
      <c r="B1536" s="13"/>
      <c r="C1536" s="13"/>
      <c r="D1536" s="14"/>
      <c r="E1536" s="14"/>
      <c r="F1536" s="14"/>
    </row>
    <row r="1537" spans="1:6" s="11" customFormat="1" x14ac:dyDescent="0.25">
      <c r="A1537" s="12"/>
      <c r="B1537" s="13"/>
      <c r="C1537" s="13"/>
      <c r="D1537" s="14"/>
      <c r="E1537" s="14"/>
      <c r="F1537" s="14"/>
    </row>
    <row r="1538" spans="1:6" s="11" customFormat="1" x14ac:dyDescent="0.25">
      <c r="A1538" s="12"/>
      <c r="B1538" s="13"/>
      <c r="C1538" s="13"/>
      <c r="D1538" s="14"/>
      <c r="E1538" s="14"/>
      <c r="F1538" s="14"/>
    </row>
    <row r="1539" spans="1:6" s="11" customFormat="1" x14ac:dyDescent="0.25">
      <c r="A1539" s="12"/>
      <c r="B1539" s="13"/>
      <c r="C1539" s="13"/>
      <c r="D1539" s="14"/>
      <c r="E1539" s="14"/>
      <c r="F1539" s="14"/>
    </row>
    <row r="1540" spans="1:6" s="11" customFormat="1" x14ac:dyDescent="0.25">
      <c r="A1540" s="12"/>
      <c r="B1540" s="13"/>
      <c r="C1540" s="13"/>
      <c r="D1540" s="14"/>
      <c r="E1540" s="14"/>
      <c r="F1540" s="14"/>
    </row>
    <row r="1541" spans="1:6" s="11" customFormat="1" x14ac:dyDescent="0.25">
      <c r="A1541" s="12"/>
      <c r="B1541" s="13"/>
      <c r="C1541" s="13"/>
      <c r="D1541" s="14"/>
      <c r="E1541" s="14"/>
      <c r="F1541" s="14"/>
    </row>
    <row r="1542" spans="1:6" s="11" customFormat="1" x14ac:dyDescent="0.25">
      <c r="A1542" s="12"/>
      <c r="B1542" s="13"/>
      <c r="C1542" s="13"/>
      <c r="D1542" s="14"/>
      <c r="E1542" s="14"/>
      <c r="F1542" s="14"/>
    </row>
    <row r="1543" spans="1:6" s="11" customFormat="1" x14ac:dyDescent="0.25">
      <c r="A1543" s="12"/>
      <c r="B1543" s="13"/>
      <c r="C1543" s="13"/>
      <c r="D1543" s="14"/>
      <c r="E1543" s="14"/>
      <c r="F1543" s="14"/>
    </row>
    <row r="1544" spans="1:6" s="11" customFormat="1" x14ac:dyDescent="0.25">
      <c r="A1544" s="12"/>
      <c r="B1544" s="13"/>
      <c r="C1544" s="13"/>
      <c r="D1544" s="14"/>
      <c r="E1544" s="14"/>
      <c r="F1544" s="14"/>
    </row>
    <row r="1545" spans="1:6" s="11" customFormat="1" x14ac:dyDescent="0.25">
      <c r="A1545" s="12"/>
      <c r="B1545" s="13"/>
      <c r="C1545" s="13"/>
      <c r="D1545" s="14"/>
      <c r="E1545" s="14"/>
      <c r="F1545" s="14"/>
    </row>
    <row r="1546" spans="1:6" s="11" customFormat="1" x14ac:dyDescent="0.25">
      <c r="A1546" s="12"/>
      <c r="B1546" s="13"/>
      <c r="C1546" s="13"/>
      <c r="D1546" s="14"/>
      <c r="E1546" s="14"/>
      <c r="F1546" s="14"/>
    </row>
    <row r="1547" spans="1:6" s="11" customFormat="1" x14ac:dyDescent="0.25">
      <c r="A1547" s="12"/>
      <c r="B1547" s="13"/>
      <c r="C1547" s="13"/>
      <c r="D1547" s="14"/>
      <c r="E1547" s="14"/>
      <c r="F1547" s="14"/>
    </row>
    <row r="1548" spans="1:6" s="11" customFormat="1" x14ac:dyDescent="0.25">
      <c r="A1548" s="12"/>
      <c r="B1548" s="13"/>
      <c r="C1548" s="13"/>
      <c r="D1548" s="14"/>
      <c r="E1548" s="14"/>
      <c r="F1548" s="14"/>
    </row>
    <row r="1549" spans="1:6" s="11" customFormat="1" x14ac:dyDescent="0.25">
      <c r="A1549" s="12"/>
      <c r="B1549" s="13"/>
      <c r="C1549" s="13"/>
      <c r="D1549" s="14"/>
      <c r="E1549" s="14"/>
      <c r="F1549" s="14"/>
    </row>
    <row r="1550" spans="1:6" s="11" customFormat="1" x14ac:dyDescent="0.25">
      <c r="A1550" s="12"/>
      <c r="B1550" s="13"/>
      <c r="C1550" s="13"/>
      <c r="D1550" s="14"/>
      <c r="E1550" s="14"/>
      <c r="F1550" s="14"/>
    </row>
    <row r="1551" spans="1:6" s="11" customFormat="1" x14ac:dyDescent="0.25">
      <c r="A1551" s="12"/>
      <c r="B1551" s="13"/>
      <c r="C1551" s="13"/>
      <c r="D1551" s="14"/>
      <c r="E1551" s="14"/>
      <c r="F1551" s="14"/>
    </row>
    <row r="1552" spans="1:6" s="11" customFormat="1" x14ac:dyDescent="0.25">
      <c r="A1552" s="12"/>
      <c r="B1552" s="13"/>
      <c r="C1552" s="13"/>
      <c r="D1552" s="14"/>
      <c r="E1552" s="14"/>
      <c r="F1552" s="14"/>
    </row>
    <row r="1553" spans="1:6" s="11" customFormat="1" x14ac:dyDescent="0.25">
      <c r="A1553" s="12"/>
      <c r="B1553" s="13"/>
      <c r="C1553" s="13"/>
      <c r="D1553" s="14"/>
      <c r="E1553" s="14"/>
      <c r="F1553" s="14"/>
    </row>
    <row r="1554" spans="1:6" s="11" customFormat="1" x14ac:dyDescent="0.25">
      <c r="A1554" s="12"/>
      <c r="B1554" s="13"/>
      <c r="C1554" s="13"/>
      <c r="D1554" s="14"/>
      <c r="E1554" s="14"/>
      <c r="F1554" s="14"/>
    </row>
    <row r="1555" spans="1:6" s="11" customFormat="1" x14ac:dyDescent="0.25">
      <c r="A1555" s="12"/>
      <c r="B1555" s="13"/>
      <c r="C1555" s="13"/>
      <c r="D1555" s="14"/>
      <c r="E1555" s="14"/>
      <c r="F1555" s="14"/>
    </row>
    <row r="1556" spans="1:6" s="11" customFormat="1" x14ac:dyDescent="0.25">
      <c r="A1556" s="12"/>
      <c r="B1556" s="13"/>
      <c r="C1556" s="13"/>
      <c r="D1556" s="14"/>
      <c r="E1556" s="14"/>
      <c r="F1556" s="14"/>
    </row>
    <row r="1557" spans="1:6" s="11" customFormat="1" x14ac:dyDescent="0.25">
      <c r="A1557" s="12"/>
      <c r="B1557" s="13"/>
      <c r="C1557" s="13"/>
      <c r="D1557" s="14"/>
      <c r="E1557" s="14"/>
      <c r="F1557" s="14"/>
    </row>
    <row r="1558" spans="1:6" s="11" customFormat="1" x14ac:dyDescent="0.25">
      <c r="A1558" s="12"/>
      <c r="B1558" s="13"/>
      <c r="C1558" s="13"/>
      <c r="D1558" s="14"/>
      <c r="E1558" s="14"/>
      <c r="F1558" s="14"/>
    </row>
    <row r="1559" spans="1:6" s="11" customFormat="1" x14ac:dyDescent="0.25">
      <c r="A1559" s="12"/>
      <c r="B1559" s="13"/>
      <c r="C1559" s="13"/>
      <c r="D1559" s="14"/>
      <c r="E1559" s="14"/>
      <c r="F1559" s="14"/>
    </row>
    <row r="1560" spans="1:6" s="11" customFormat="1" x14ac:dyDescent="0.25">
      <c r="A1560" s="12"/>
      <c r="B1560" s="13"/>
      <c r="C1560" s="13"/>
      <c r="D1560" s="14"/>
      <c r="E1560" s="14"/>
      <c r="F1560" s="14"/>
    </row>
    <row r="1561" spans="1:6" s="11" customFormat="1" x14ac:dyDescent="0.25">
      <c r="A1561" s="12"/>
      <c r="B1561" s="13"/>
      <c r="C1561" s="13"/>
      <c r="D1561" s="14"/>
      <c r="E1561" s="14"/>
      <c r="F1561" s="14"/>
    </row>
    <row r="1562" spans="1:6" s="11" customFormat="1" x14ac:dyDescent="0.25">
      <c r="A1562" s="12"/>
      <c r="B1562" s="13"/>
      <c r="C1562" s="13"/>
      <c r="D1562" s="14"/>
      <c r="E1562" s="14"/>
      <c r="F1562" s="14"/>
    </row>
    <row r="1563" spans="1:6" s="11" customFormat="1" x14ac:dyDescent="0.25">
      <c r="A1563" s="12"/>
      <c r="B1563" s="13"/>
      <c r="C1563" s="13"/>
      <c r="D1563" s="14"/>
      <c r="E1563" s="14"/>
      <c r="F1563" s="14"/>
    </row>
    <row r="1564" spans="1:6" s="11" customFormat="1" x14ac:dyDescent="0.25">
      <c r="A1564" s="12"/>
      <c r="B1564" s="13"/>
      <c r="C1564" s="13"/>
      <c r="D1564" s="14"/>
      <c r="E1564" s="14"/>
      <c r="F1564" s="14"/>
    </row>
    <row r="1565" spans="1:6" s="11" customFormat="1" x14ac:dyDescent="0.25">
      <c r="A1565" s="12"/>
      <c r="B1565" s="13"/>
      <c r="C1565" s="13"/>
      <c r="D1565" s="14"/>
      <c r="E1565" s="14"/>
      <c r="F1565" s="14"/>
    </row>
    <row r="1566" spans="1:6" s="11" customFormat="1" x14ac:dyDescent="0.25">
      <c r="A1566" s="12"/>
      <c r="B1566" s="13"/>
      <c r="C1566" s="13"/>
      <c r="D1566" s="14"/>
      <c r="E1566" s="14"/>
      <c r="F1566" s="14"/>
    </row>
    <row r="1567" spans="1:6" s="11" customFormat="1" x14ac:dyDescent="0.25">
      <c r="A1567" s="12"/>
      <c r="B1567" s="13"/>
      <c r="C1567" s="13"/>
      <c r="D1567" s="14"/>
      <c r="E1567" s="14"/>
      <c r="F1567" s="14"/>
    </row>
    <row r="1568" spans="1:6" s="11" customFormat="1" x14ac:dyDescent="0.25">
      <c r="A1568" s="12"/>
      <c r="B1568" s="13"/>
      <c r="C1568" s="13"/>
      <c r="D1568" s="14"/>
      <c r="E1568" s="14"/>
      <c r="F1568" s="14"/>
    </row>
    <row r="1569" spans="1:6" s="11" customFormat="1" x14ac:dyDescent="0.25">
      <c r="A1569" s="12"/>
      <c r="B1569" s="13"/>
      <c r="C1569" s="13"/>
      <c r="D1569" s="14"/>
      <c r="E1569" s="14"/>
      <c r="F1569" s="14"/>
    </row>
    <row r="1570" spans="1:6" s="11" customFormat="1" x14ac:dyDescent="0.25">
      <c r="A1570" s="12"/>
      <c r="B1570" s="13"/>
      <c r="C1570" s="13"/>
      <c r="D1570" s="14"/>
      <c r="E1570" s="14"/>
      <c r="F1570" s="14"/>
    </row>
    <row r="1571" spans="1:6" s="11" customFormat="1" x14ac:dyDescent="0.25">
      <c r="A1571" s="12"/>
      <c r="B1571" s="13"/>
      <c r="C1571" s="13"/>
      <c r="D1571" s="14"/>
      <c r="E1571" s="14"/>
      <c r="F1571" s="14"/>
    </row>
    <row r="1572" spans="1:6" s="11" customFormat="1" x14ac:dyDescent="0.25">
      <c r="A1572" s="12"/>
      <c r="B1572" s="13"/>
      <c r="C1572" s="13"/>
      <c r="D1572" s="14"/>
      <c r="E1572" s="14"/>
      <c r="F1572" s="14"/>
    </row>
    <row r="1573" spans="1:6" s="11" customFormat="1" x14ac:dyDescent="0.25">
      <c r="A1573" s="12"/>
      <c r="B1573" s="13"/>
      <c r="C1573" s="13"/>
      <c r="D1573" s="14"/>
      <c r="E1573" s="14"/>
      <c r="F1573" s="14"/>
    </row>
    <row r="1574" spans="1:6" s="11" customFormat="1" x14ac:dyDescent="0.25">
      <c r="A1574" s="12"/>
      <c r="B1574" s="13"/>
      <c r="C1574" s="13"/>
      <c r="D1574" s="14"/>
      <c r="E1574" s="14"/>
      <c r="F1574" s="14"/>
    </row>
    <row r="1575" spans="1:6" s="11" customFormat="1" x14ac:dyDescent="0.25">
      <c r="A1575" s="12"/>
      <c r="B1575" s="13"/>
      <c r="C1575" s="13"/>
      <c r="D1575" s="14"/>
      <c r="E1575" s="14"/>
      <c r="F1575" s="14"/>
    </row>
    <row r="1576" spans="1:6" s="11" customFormat="1" x14ac:dyDescent="0.25">
      <c r="A1576" s="12"/>
      <c r="B1576" s="13"/>
      <c r="C1576" s="13"/>
      <c r="D1576" s="14"/>
      <c r="E1576" s="14"/>
      <c r="F1576" s="14"/>
    </row>
    <row r="1577" spans="1:6" s="11" customFormat="1" x14ac:dyDescent="0.25">
      <c r="A1577" s="12"/>
      <c r="B1577" s="13"/>
      <c r="C1577" s="13"/>
      <c r="D1577" s="14"/>
      <c r="E1577" s="14"/>
      <c r="F1577" s="14"/>
    </row>
    <row r="1578" spans="1:6" s="11" customFormat="1" x14ac:dyDescent="0.25">
      <c r="A1578" s="12"/>
      <c r="B1578" s="13"/>
      <c r="C1578" s="13"/>
      <c r="D1578" s="14"/>
      <c r="E1578" s="14"/>
      <c r="F1578" s="14"/>
    </row>
    <row r="1579" spans="1:6" s="11" customFormat="1" x14ac:dyDescent="0.25">
      <c r="A1579" s="12"/>
      <c r="B1579" s="13"/>
      <c r="C1579" s="13"/>
      <c r="D1579" s="14"/>
      <c r="E1579" s="14"/>
      <c r="F1579" s="14"/>
    </row>
    <row r="1580" spans="1:6" s="11" customFormat="1" x14ac:dyDescent="0.25">
      <c r="A1580" s="12"/>
      <c r="B1580" s="13"/>
      <c r="C1580" s="13"/>
      <c r="D1580" s="14"/>
      <c r="E1580" s="14"/>
      <c r="F1580" s="14"/>
    </row>
    <row r="1581" spans="1:6" s="11" customFormat="1" x14ac:dyDescent="0.25">
      <c r="A1581" s="12"/>
      <c r="B1581" s="13"/>
      <c r="C1581" s="13"/>
      <c r="D1581" s="14"/>
      <c r="E1581" s="14"/>
      <c r="F1581" s="14"/>
    </row>
    <row r="1582" spans="1:6" s="11" customFormat="1" x14ac:dyDescent="0.25">
      <c r="A1582" s="12"/>
      <c r="B1582" s="13"/>
      <c r="C1582" s="13"/>
      <c r="D1582" s="14"/>
      <c r="E1582" s="14"/>
      <c r="F1582" s="14"/>
    </row>
    <row r="1583" spans="1:6" s="11" customFormat="1" x14ac:dyDescent="0.25">
      <c r="A1583" s="12"/>
      <c r="B1583" s="13"/>
      <c r="C1583" s="13"/>
      <c r="D1583" s="14"/>
      <c r="E1583" s="14"/>
      <c r="F1583" s="14"/>
    </row>
    <row r="1584" spans="1:6" s="11" customFormat="1" x14ac:dyDescent="0.25">
      <c r="A1584" s="12"/>
      <c r="B1584" s="13"/>
      <c r="C1584" s="13"/>
      <c r="D1584" s="14"/>
      <c r="E1584" s="14"/>
      <c r="F1584" s="14"/>
    </row>
    <row r="1585" spans="1:6" s="11" customFormat="1" x14ac:dyDescent="0.25">
      <c r="A1585" s="12"/>
      <c r="B1585" s="13"/>
      <c r="C1585" s="13"/>
      <c r="D1585" s="14"/>
      <c r="E1585" s="14"/>
      <c r="F1585" s="14"/>
    </row>
    <row r="1586" spans="1:6" s="11" customFormat="1" x14ac:dyDescent="0.25">
      <c r="A1586" s="12"/>
      <c r="B1586" s="13"/>
      <c r="C1586" s="13"/>
      <c r="D1586" s="14"/>
      <c r="E1586" s="14"/>
      <c r="F1586" s="14"/>
    </row>
    <row r="1587" spans="1:6" s="11" customFormat="1" x14ac:dyDescent="0.25">
      <c r="A1587" s="12"/>
      <c r="B1587" s="13"/>
      <c r="C1587" s="13"/>
      <c r="D1587" s="14"/>
      <c r="E1587" s="14"/>
      <c r="F1587" s="14"/>
    </row>
    <row r="1588" spans="1:6" s="11" customFormat="1" x14ac:dyDescent="0.25">
      <c r="A1588" s="12"/>
      <c r="B1588" s="13"/>
      <c r="C1588" s="13"/>
      <c r="D1588" s="14"/>
      <c r="E1588" s="14"/>
      <c r="F1588" s="14"/>
    </row>
    <row r="1589" spans="1:6" s="11" customFormat="1" x14ac:dyDescent="0.25">
      <c r="A1589" s="12"/>
      <c r="B1589" s="13"/>
      <c r="C1589" s="13"/>
      <c r="D1589" s="14"/>
      <c r="E1589" s="14"/>
      <c r="F1589" s="14"/>
    </row>
    <row r="1590" spans="1:6" s="11" customFormat="1" x14ac:dyDescent="0.25">
      <c r="A1590" s="12"/>
      <c r="B1590" s="13"/>
      <c r="C1590" s="13"/>
      <c r="D1590" s="14"/>
      <c r="E1590" s="14"/>
      <c r="F1590" s="14"/>
    </row>
    <row r="1591" spans="1:6" s="11" customFormat="1" x14ac:dyDescent="0.25">
      <c r="A1591" s="12"/>
      <c r="B1591" s="13"/>
      <c r="C1591" s="13"/>
      <c r="D1591" s="14"/>
      <c r="E1591" s="14"/>
      <c r="F1591" s="14"/>
    </row>
    <row r="1592" spans="1:6" s="11" customFormat="1" x14ac:dyDescent="0.25">
      <c r="A1592" s="12"/>
      <c r="B1592" s="13"/>
      <c r="C1592" s="13"/>
      <c r="D1592" s="14"/>
      <c r="E1592" s="14"/>
      <c r="F1592" s="14"/>
    </row>
    <row r="1593" spans="1:6" s="11" customFormat="1" x14ac:dyDescent="0.25">
      <c r="A1593" s="12"/>
      <c r="B1593" s="13"/>
      <c r="C1593" s="13"/>
      <c r="D1593" s="14"/>
      <c r="E1593" s="14"/>
      <c r="F1593" s="14"/>
    </row>
    <row r="1594" spans="1:6" s="11" customFormat="1" x14ac:dyDescent="0.25">
      <c r="A1594" s="12"/>
      <c r="B1594" s="13"/>
      <c r="C1594" s="13"/>
      <c r="D1594" s="14"/>
      <c r="E1594" s="14"/>
      <c r="F1594" s="14"/>
    </row>
    <row r="1595" spans="1:6" s="11" customFormat="1" x14ac:dyDescent="0.25">
      <c r="A1595" s="12"/>
      <c r="B1595" s="13"/>
      <c r="C1595" s="13"/>
      <c r="D1595" s="14"/>
      <c r="E1595" s="14"/>
      <c r="F1595" s="14"/>
    </row>
    <row r="1596" spans="1:6" s="11" customFormat="1" x14ac:dyDescent="0.25">
      <c r="A1596" s="12"/>
      <c r="B1596" s="13"/>
      <c r="C1596" s="13"/>
      <c r="D1596" s="14"/>
      <c r="E1596" s="14"/>
      <c r="F1596" s="14"/>
    </row>
    <row r="1597" spans="1:6" s="11" customFormat="1" x14ac:dyDescent="0.25">
      <c r="A1597" s="12"/>
      <c r="B1597" s="13"/>
      <c r="C1597" s="13"/>
      <c r="D1597" s="14"/>
      <c r="E1597" s="14"/>
      <c r="F1597" s="14"/>
    </row>
    <row r="1598" spans="1:6" s="11" customFormat="1" x14ac:dyDescent="0.25">
      <c r="A1598" s="12"/>
      <c r="B1598" s="13"/>
      <c r="C1598" s="13"/>
      <c r="D1598" s="14"/>
      <c r="E1598" s="14"/>
      <c r="F1598" s="14"/>
    </row>
    <row r="1599" spans="1:6" s="11" customFormat="1" x14ac:dyDescent="0.25">
      <c r="A1599" s="12"/>
      <c r="B1599" s="13"/>
      <c r="C1599" s="13"/>
      <c r="D1599" s="14"/>
      <c r="E1599" s="14"/>
      <c r="F1599" s="14"/>
    </row>
    <row r="1600" spans="1:6" s="11" customFormat="1" x14ac:dyDescent="0.25">
      <c r="A1600" s="12"/>
      <c r="B1600" s="13"/>
      <c r="C1600" s="13"/>
      <c r="D1600" s="14"/>
      <c r="E1600" s="14"/>
      <c r="F1600" s="14"/>
    </row>
    <row r="1601" spans="1:6" s="11" customFormat="1" x14ac:dyDescent="0.25">
      <c r="A1601" s="12"/>
      <c r="B1601" s="13"/>
      <c r="C1601" s="13"/>
      <c r="D1601" s="14"/>
      <c r="E1601" s="14"/>
      <c r="F1601" s="14"/>
    </row>
    <row r="1602" spans="1:6" s="11" customFormat="1" x14ac:dyDescent="0.25">
      <c r="A1602" s="12"/>
      <c r="B1602" s="13"/>
      <c r="C1602" s="13"/>
      <c r="D1602" s="14"/>
      <c r="E1602" s="14"/>
      <c r="F1602" s="14"/>
    </row>
    <row r="1603" spans="1:6" s="11" customFormat="1" x14ac:dyDescent="0.25">
      <c r="A1603" s="12"/>
      <c r="B1603" s="13"/>
      <c r="C1603" s="13"/>
      <c r="D1603" s="14"/>
      <c r="E1603" s="14"/>
      <c r="F1603" s="14"/>
    </row>
    <row r="1604" spans="1:6" s="11" customFormat="1" x14ac:dyDescent="0.25">
      <c r="A1604" s="12"/>
      <c r="B1604" s="13"/>
      <c r="C1604" s="13"/>
      <c r="D1604" s="14"/>
      <c r="E1604" s="14"/>
      <c r="F1604" s="14"/>
    </row>
    <row r="1605" spans="1:6" s="11" customFormat="1" x14ac:dyDescent="0.25">
      <c r="A1605" s="12"/>
      <c r="B1605" s="13"/>
      <c r="C1605" s="13"/>
      <c r="D1605" s="14"/>
      <c r="E1605" s="14"/>
      <c r="F1605" s="14"/>
    </row>
    <row r="1606" spans="1:6" s="11" customFormat="1" x14ac:dyDescent="0.25">
      <c r="A1606" s="12"/>
      <c r="B1606" s="13"/>
      <c r="C1606" s="13"/>
      <c r="D1606" s="14"/>
      <c r="E1606" s="14"/>
      <c r="F1606" s="14"/>
    </row>
    <row r="1607" spans="1:6" s="11" customFormat="1" x14ac:dyDescent="0.25">
      <c r="A1607" s="12"/>
      <c r="B1607" s="13"/>
      <c r="C1607" s="13"/>
      <c r="D1607" s="14"/>
      <c r="E1607" s="14"/>
      <c r="F1607" s="14"/>
    </row>
    <row r="1608" spans="1:6" s="11" customFormat="1" x14ac:dyDescent="0.25">
      <c r="A1608" s="12"/>
      <c r="B1608" s="13"/>
      <c r="C1608" s="13"/>
      <c r="D1608" s="14"/>
      <c r="E1608" s="14"/>
      <c r="F1608" s="14"/>
    </row>
    <row r="1609" spans="1:6" s="11" customFormat="1" x14ac:dyDescent="0.25">
      <c r="A1609" s="12"/>
      <c r="B1609" s="13"/>
      <c r="C1609" s="13"/>
      <c r="D1609" s="14"/>
      <c r="E1609" s="14"/>
      <c r="F1609" s="14"/>
    </row>
    <row r="1610" spans="1:6" s="11" customFormat="1" x14ac:dyDescent="0.25">
      <c r="A1610" s="12"/>
      <c r="B1610" s="13"/>
      <c r="C1610" s="13"/>
      <c r="D1610" s="14"/>
      <c r="E1610" s="14"/>
      <c r="F1610" s="14"/>
    </row>
    <row r="1611" spans="1:6" s="11" customFormat="1" x14ac:dyDescent="0.25">
      <c r="A1611" s="12"/>
      <c r="B1611" s="13"/>
      <c r="C1611" s="13"/>
      <c r="D1611" s="14"/>
      <c r="E1611" s="14"/>
      <c r="F1611" s="14"/>
    </row>
    <row r="1612" spans="1:6" s="11" customFormat="1" x14ac:dyDescent="0.25">
      <c r="A1612" s="12"/>
      <c r="B1612" s="13"/>
      <c r="C1612" s="13"/>
      <c r="D1612" s="14"/>
      <c r="E1612" s="14"/>
      <c r="F1612" s="14"/>
    </row>
    <row r="1613" spans="1:6" s="11" customFormat="1" x14ac:dyDescent="0.25">
      <c r="A1613" s="12"/>
      <c r="B1613" s="13"/>
      <c r="C1613" s="13"/>
      <c r="D1613" s="14"/>
      <c r="E1613" s="14"/>
      <c r="F1613" s="14"/>
    </row>
    <row r="1614" spans="1:6" s="11" customFormat="1" x14ac:dyDescent="0.25">
      <c r="A1614" s="12"/>
      <c r="B1614" s="13"/>
      <c r="C1614" s="13"/>
      <c r="D1614" s="14"/>
      <c r="E1614" s="14"/>
      <c r="F1614" s="14"/>
    </row>
    <row r="1615" spans="1:6" s="11" customFormat="1" x14ac:dyDescent="0.25">
      <c r="A1615" s="12"/>
      <c r="B1615" s="13"/>
      <c r="C1615" s="13"/>
      <c r="D1615" s="14"/>
      <c r="E1615" s="14"/>
      <c r="F1615" s="14"/>
    </row>
    <row r="1616" spans="1:6" s="11" customFormat="1" x14ac:dyDescent="0.25">
      <c r="A1616" s="12"/>
      <c r="B1616" s="13"/>
      <c r="C1616" s="13"/>
      <c r="D1616" s="14"/>
      <c r="E1616" s="14"/>
      <c r="F1616" s="14"/>
    </row>
    <row r="1617" spans="1:6" s="11" customFormat="1" x14ac:dyDescent="0.25">
      <c r="A1617" s="12"/>
      <c r="B1617" s="13"/>
      <c r="C1617" s="13"/>
      <c r="D1617" s="14"/>
      <c r="E1617" s="14"/>
      <c r="F1617" s="14"/>
    </row>
    <row r="1618" spans="1:6" s="11" customFormat="1" x14ac:dyDescent="0.25">
      <c r="A1618" s="12"/>
      <c r="B1618" s="13"/>
      <c r="C1618" s="13"/>
      <c r="D1618" s="14"/>
      <c r="E1618" s="14"/>
      <c r="F1618" s="14"/>
    </row>
    <row r="1619" spans="1:6" s="11" customFormat="1" x14ac:dyDescent="0.25">
      <c r="A1619" s="12"/>
      <c r="B1619" s="13"/>
      <c r="C1619" s="13"/>
      <c r="D1619" s="14"/>
      <c r="E1619" s="14"/>
      <c r="F1619" s="14"/>
    </row>
    <row r="1620" spans="1:6" s="11" customFormat="1" x14ac:dyDescent="0.25">
      <c r="A1620" s="12"/>
      <c r="B1620" s="13"/>
      <c r="C1620" s="13"/>
      <c r="D1620" s="14"/>
      <c r="E1620" s="14"/>
      <c r="F1620" s="14"/>
    </row>
    <row r="1621" spans="1:6" s="11" customFormat="1" x14ac:dyDescent="0.25">
      <c r="A1621" s="12"/>
      <c r="B1621" s="13"/>
      <c r="C1621" s="13"/>
      <c r="D1621" s="14"/>
      <c r="E1621" s="14"/>
      <c r="F1621" s="14"/>
    </row>
    <row r="1622" spans="1:6" s="11" customFormat="1" x14ac:dyDescent="0.25">
      <c r="A1622" s="12"/>
      <c r="B1622" s="13"/>
      <c r="C1622" s="13"/>
      <c r="D1622" s="14"/>
      <c r="E1622" s="14"/>
      <c r="F1622" s="14"/>
    </row>
    <row r="1623" spans="1:6" s="11" customFormat="1" x14ac:dyDescent="0.25">
      <c r="A1623" s="12"/>
      <c r="B1623" s="13"/>
      <c r="C1623" s="13"/>
      <c r="D1623" s="14"/>
      <c r="E1623" s="14"/>
      <c r="F1623" s="14"/>
    </row>
    <row r="1624" spans="1:6" s="11" customFormat="1" x14ac:dyDescent="0.25">
      <c r="A1624" s="12"/>
      <c r="B1624" s="13"/>
      <c r="C1624" s="13"/>
      <c r="D1624" s="14"/>
      <c r="E1624" s="14"/>
      <c r="F1624" s="14"/>
    </row>
    <row r="1625" spans="1:6" s="11" customFormat="1" x14ac:dyDescent="0.25">
      <c r="A1625" s="12"/>
      <c r="B1625" s="13"/>
      <c r="C1625" s="13"/>
      <c r="D1625" s="14"/>
      <c r="E1625" s="14"/>
      <c r="F1625" s="14"/>
    </row>
    <row r="1626" spans="1:6" s="11" customFormat="1" x14ac:dyDescent="0.25">
      <c r="A1626" s="12"/>
      <c r="B1626" s="13"/>
      <c r="C1626" s="13"/>
      <c r="D1626" s="14"/>
      <c r="E1626" s="14"/>
      <c r="F1626" s="14"/>
    </row>
    <row r="1627" spans="1:6" s="11" customFormat="1" x14ac:dyDescent="0.25">
      <c r="A1627" s="12"/>
      <c r="B1627" s="13"/>
      <c r="C1627" s="13"/>
      <c r="D1627" s="14"/>
      <c r="E1627" s="14"/>
      <c r="F1627" s="14"/>
    </row>
    <row r="1628" spans="1:6" s="11" customFormat="1" x14ac:dyDescent="0.25">
      <c r="A1628" s="12"/>
      <c r="B1628" s="13"/>
      <c r="C1628" s="13"/>
      <c r="D1628" s="14"/>
      <c r="E1628" s="14"/>
      <c r="F1628" s="14"/>
    </row>
    <row r="1629" spans="1:6" s="11" customFormat="1" x14ac:dyDescent="0.25">
      <c r="A1629" s="12"/>
      <c r="B1629" s="13"/>
      <c r="C1629" s="13"/>
      <c r="D1629" s="14"/>
      <c r="E1629" s="14"/>
      <c r="F1629" s="14"/>
    </row>
    <row r="1630" spans="1:6" s="11" customFormat="1" x14ac:dyDescent="0.25">
      <c r="A1630" s="12"/>
      <c r="B1630" s="13"/>
      <c r="C1630" s="13"/>
      <c r="D1630" s="14"/>
      <c r="E1630" s="14"/>
      <c r="F1630" s="14"/>
    </row>
    <row r="1631" spans="1:6" s="11" customFormat="1" x14ac:dyDescent="0.25">
      <c r="A1631" s="12"/>
      <c r="B1631" s="13"/>
      <c r="C1631" s="13"/>
      <c r="D1631" s="14"/>
      <c r="E1631" s="14"/>
      <c r="F1631" s="14"/>
    </row>
    <row r="1632" spans="1:6" s="11" customFormat="1" x14ac:dyDescent="0.25">
      <c r="A1632" s="12"/>
      <c r="B1632" s="13"/>
      <c r="C1632" s="13"/>
      <c r="D1632" s="14"/>
      <c r="E1632" s="14"/>
      <c r="F1632" s="14"/>
    </row>
    <row r="1633" spans="1:6" s="11" customFormat="1" x14ac:dyDescent="0.25">
      <c r="A1633" s="12"/>
      <c r="B1633" s="13"/>
      <c r="C1633" s="13"/>
      <c r="D1633" s="14"/>
      <c r="E1633" s="14"/>
      <c r="F1633" s="14"/>
    </row>
    <row r="1634" spans="1:6" s="11" customFormat="1" x14ac:dyDescent="0.25">
      <c r="A1634" s="12"/>
      <c r="B1634" s="13"/>
      <c r="C1634" s="13"/>
      <c r="D1634" s="14"/>
      <c r="E1634" s="14"/>
      <c r="F1634" s="14"/>
    </row>
    <row r="1635" spans="1:6" s="11" customFormat="1" x14ac:dyDescent="0.25">
      <c r="A1635" s="12"/>
      <c r="B1635" s="13"/>
      <c r="C1635" s="13"/>
      <c r="D1635" s="14"/>
      <c r="E1635" s="14"/>
      <c r="F1635" s="14"/>
    </row>
    <row r="1636" spans="1:6" s="11" customFormat="1" x14ac:dyDescent="0.25">
      <c r="A1636" s="12"/>
      <c r="B1636" s="13"/>
      <c r="C1636" s="13"/>
      <c r="D1636" s="14"/>
      <c r="E1636" s="14"/>
      <c r="F1636" s="14"/>
    </row>
    <row r="1637" spans="1:6" s="11" customFormat="1" x14ac:dyDescent="0.25">
      <c r="A1637" s="12"/>
      <c r="B1637" s="13"/>
      <c r="C1637" s="13"/>
      <c r="D1637" s="14"/>
      <c r="E1637" s="14"/>
      <c r="F1637" s="14"/>
    </row>
    <row r="1638" spans="1:6" s="11" customFormat="1" x14ac:dyDescent="0.25">
      <c r="A1638" s="12"/>
      <c r="B1638" s="13"/>
      <c r="C1638" s="13"/>
      <c r="D1638" s="14"/>
      <c r="E1638" s="14"/>
      <c r="F1638" s="14"/>
    </row>
    <row r="1639" spans="1:6" s="11" customFormat="1" x14ac:dyDescent="0.25">
      <c r="A1639" s="12"/>
      <c r="B1639" s="13"/>
      <c r="C1639" s="13"/>
      <c r="D1639" s="14"/>
      <c r="E1639" s="14"/>
      <c r="F1639" s="14"/>
    </row>
    <row r="1640" spans="1:6" s="11" customFormat="1" x14ac:dyDescent="0.25">
      <c r="A1640" s="12"/>
      <c r="B1640" s="13"/>
      <c r="C1640" s="13"/>
      <c r="D1640" s="14"/>
      <c r="E1640" s="14"/>
      <c r="F1640" s="14"/>
    </row>
    <row r="1641" spans="1:6" s="11" customFormat="1" x14ac:dyDescent="0.25">
      <c r="A1641" s="12"/>
      <c r="B1641" s="13"/>
      <c r="C1641" s="13"/>
      <c r="D1641" s="14"/>
      <c r="E1641" s="14"/>
      <c r="F1641" s="14"/>
    </row>
    <row r="1642" spans="1:6" s="11" customFormat="1" x14ac:dyDescent="0.25">
      <c r="A1642" s="12"/>
      <c r="B1642" s="13"/>
      <c r="C1642" s="13"/>
      <c r="D1642" s="14"/>
      <c r="E1642" s="14"/>
      <c r="F1642" s="14"/>
    </row>
    <row r="1643" spans="1:6" s="11" customFormat="1" x14ac:dyDescent="0.25">
      <c r="A1643" s="12"/>
      <c r="B1643" s="13"/>
      <c r="C1643" s="13"/>
      <c r="D1643" s="14"/>
      <c r="E1643" s="14"/>
      <c r="F1643" s="14"/>
    </row>
    <row r="1644" spans="1:6" s="11" customFormat="1" x14ac:dyDescent="0.25">
      <c r="A1644" s="12"/>
      <c r="B1644" s="13"/>
      <c r="C1644" s="13"/>
      <c r="D1644" s="14"/>
      <c r="E1644" s="14"/>
      <c r="F1644" s="14"/>
    </row>
    <row r="1645" spans="1:6" s="11" customFormat="1" x14ac:dyDescent="0.25">
      <c r="A1645" s="12"/>
      <c r="B1645" s="13"/>
      <c r="C1645" s="13"/>
      <c r="D1645" s="14"/>
      <c r="E1645" s="14"/>
      <c r="F1645" s="14"/>
    </row>
    <row r="1646" spans="1:6" s="11" customFormat="1" x14ac:dyDescent="0.25">
      <c r="A1646" s="12"/>
      <c r="B1646" s="13"/>
      <c r="C1646" s="13"/>
      <c r="D1646" s="14"/>
      <c r="E1646" s="14"/>
      <c r="F1646" s="14"/>
    </row>
    <row r="1647" spans="1:6" s="11" customFormat="1" x14ac:dyDescent="0.25">
      <c r="A1647" s="12"/>
      <c r="B1647" s="13"/>
      <c r="C1647" s="13"/>
      <c r="D1647" s="14"/>
      <c r="E1647" s="14"/>
      <c r="F1647" s="14"/>
    </row>
    <row r="1648" spans="1:6" s="11" customFormat="1" x14ac:dyDescent="0.25">
      <c r="A1648" s="12"/>
      <c r="B1648" s="13"/>
      <c r="C1648" s="13"/>
      <c r="D1648" s="14"/>
      <c r="E1648" s="14"/>
      <c r="F1648" s="14"/>
    </row>
    <row r="1649" spans="1:6" s="11" customFormat="1" x14ac:dyDescent="0.25">
      <c r="A1649" s="12"/>
      <c r="B1649" s="13"/>
      <c r="C1649" s="13"/>
      <c r="D1649" s="14"/>
      <c r="E1649" s="14"/>
      <c r="F1649" s="14"/>
    </row>
    <row r="1650" spans="1:6" s="11" customFormat="1" x14ac:dyDescent="0.25">
      <c r="A1650" s="12"/>
      <c r="B1650" s="13"/>
      <c r="C1650" s="13"/>
      <c r="D1650" s="14"/>
      <c r="E1650" s="14"/>
      <c r="F1650" s="14"/>
    </row>
    <row r="1651" spans="1:6" s="11" customFormat="1" x14ac:dyDescent="0.25">
      <c r="A1651" s="12"/>
      <c r="B1651" s="13"/>
      <c r="C1651" s="13"/>
      <c r="D1651" s="14"/>
      <c r="E1651" s="14"/>
      <c r="F1651" s="14"/>
    </row>
    <row r="1652" spans="1:6" s="11" customFormat="1" x14ac:dyDescent="0.25">
      <c r="A1652" s="12"/>
      <c r="B1652" s="13"/>
      <c r="C1652" s="13"/>
      <c r="D1652" s="14"/>
      <c r="E1652" s="14"/>
      <c r="F1652" s="14"/>
    </row>
    <row r="1653" spans="1:6" s="11" customFormat="1" x14ac:dyDescent="0.25">
      <c r="A1653" s="12"/>
      <c r="B1653" s="13"/>
      <c r="C1653" s="13"/>
      <c r="D1653" s="14"/>
      <c r="E1653" s="14"/>
      <c r="F1653" s="14"/>
    </row>
    <row r="1654" spans="1:6" s="11" customFormat="1" x14ac:dyDescent="0.25">
      <c r="A1654" s="12"/>
      <c r="B1654" s="13"/>
      <c r="C1654" s="13"/>
      <c r="D1654" s="14"/>
      <c r="E1654" s="14"/>
      <c r="F1654" s="14"/>
    </row>
    <row r="1655" spans="1:6" s="11" customFormat="1" x14ac:dyDescent="0.25">
      <c r="A1655" s="12"/>
      <c r="B1655" s="13"/>
      <c r="C1655" s="13"/>
      <c r="D1655" s="14"/>
      <c r="E1655" s="14"/>
      <c r="F1655" s="14"/>
    </row>
    <row r="1656" spans="1:6" s="11" customFormat="1" x14ac:dyDescent="0.25">
      <c r="A1656" s="12"/>
      <c r="B1656" s="13"/>
      <c r="C1656" s="13"/>
      <c r="D1656" s="14"/>
      <c r="E1656" s="14"/>
      <c r="F1656" s="14"/>
    </row>
    <row r="1657" spans="1:6" s="11" customFormat="1" x14ac:dyDescent="0.25">
      <c r="A1657" s="12"/>
      <c r="B1657" s="13"/>
      <c r="C1657" s="13"/>
      <c r="D1657" s="14"/>
      <c r="E1657" s="14"/>
      <c r="F1657" s="14"/>
    </row>
    <row r="1658" spans="1:6" s="11" customFormat="1" x14ac:dyDescent="0.25">
      <c r="A1658" s="12"/>
      <c r="B1658" s="13"/>
      <c r="C1658" s="13"/>
      <c r="D1658" s="14"/>
      <c r="E1658" s="14"/>
      <c r="F1658" s="14"/>
    </row>
    <row r="1659" spans="1:6" s="11" customFormat="1" x14ac:dyDescent="0.25">
      <c r="A1659" s="12"/>
      <c r="B1659" s="13"/>
      <c r="C1659" s="13"/>
      <c r="D1659" s="14"/>
      <c r="E1659" s="14"/>
      <c r="F1659" s="14"/>
    </row>
    <row r="1660" spans="1:6" s="11" customFormat="1" x14ac:dyDescent="0.25">
      <c r="A1660" s="12"/>
      <c r="B1660" s="13"/>
      <c r="C1660" s="13"/>
      <c r="D1660" s="14"/>
      <c r="E1660" s="14"/>
      <c r="F1660" s="14"/>
    </row>
    <row r="1661" spans="1:6" s="11" customFormat="1" x14ac:dyDescent="0.25">
      <c r="A1661" s="12"/>
      <c r="B1661" s="13"/>
      <c r="C1661" s="13"/>
      <c r="D1661" s="14"/>
      <c r="E1661" s="14"/>
      <c r="F1661" s="14"/>
    </row>
    <row r="1662" spans="1:6" s="11" customFormat="1" x14ac:dyDescent="0.25">
      <c r="A1662" s="12"/>
      <c r="B1662" s="13"/>
      <c r="C1662" s="13"/>
      <c r="D1662" s="14"/>
      <c r="E1662" s="14"/>
      <c r="F1662" s="14"/>
    </row>
    <row r="1663" spans="1:6" s="11" customFormat="1" x14ac:dyDescent="0.25">
      <c r="A1663" s="12"/>
      <c r="B1663" s="13"/>
      <c r="C1663" s="13"/>
      <c r="D1663" s="14"/>
      <c r="E1663" s="14"/>
      <c r="F1663" s="14"/>
    </row>
    <row r="1664" spans="1:6" s="11" customFormat="1" x14ac:dyDescent="0.25">
      <c r="A1664" s="12"/>
      <c r="B1664" s="13"/>
      <c r="C1664" s="13"/>
      <c r="D1664" s="14"/>
      <c r="E1664" s="14"/>
      <c r="F1664" s="14"/>
    </row>
    <row r="1665" spans="1:6" s="11" customFormat="1" x14ac:dyDescent="0.25">
      <c r="A1665" s="12"/>
      <c r="B1665" s="13"/>
      <c r="C1665" s="13"/>
      <c r="D1665" s="14"/>
      <c r="E1665" s="14"/>
      <c r="F1665" s="14"/>
    </row>
    <row r="1666" spans="1:6" s="11" customFormat="1" x14ac:dyDescent="0.25">
      <c r="A1666" s="12"/>
      <c r="B1666" s="13"/>
      <c r="C1666" s="13"/>
      <c r="D1666" s="14"/>
      <c r="E1666" s="14"/>
      <c r="F1666" s="14"/>
    </row>
    <row r="1667" spans="1:6" s="11" customFormat="1" x14ac:dyDescent="0.25">
      <c r="A1667" s="12"/>
      <c r="B1667" s="13"/>
      <c r="C1667" s="13"/>
      <c r="D1667" s="14"/>
      <c r="E1667" s="14"/>
      <c r="F1667" s="14"/>
    </row>
    <row r="1668" spans="1:6" s="11" customFormat="1" x14ac:dyDescent="0.25">
      <c r="A1668" s="12"/>
      <c r="B1668" s="13"/>
      <c r="C1668" s="13"/>
      <c r="D1668" s="14"/>
      <c r="E1668" s="14"/>
      <c r="F1668" s="14"/>
    </row>
    <row r="1669" spans="1:6" s="11" customFormat="1" x14ac:dyDescent="0.25">
      <c r="A1669" s="12"/>
      <c r="B1669" s="13"/>
      <c r="C1669" s="13"/>
      <c r="D1669" s="14"/>
      <c r="E1669" s="14"/>
      <c r="F1669" s="14"/>
    </row>
    <row r="1670" spans="1:6" s="11" customFormat="1" x14ac:dyDescent="0.25">
      <c r="A1670" s="12"/>
      <c r="B1670" s="13"/>
      <c r="C1670" s="13"/>
      <c r="D1670" s="14"/>
      <c r="E1670" s="14"/>
      <c r="F1670" s="14"/>
    </row>
    <row r="1671" spans="1:6" s="11" customFormat="1" x14ac:dyDescent="0.25">
      <c r="A1671" s="12"/>
      <c r="B1671" s="13"/>
      <c r="C1671" s="13"/>
      <c r="D1671" s="14"/>
      <c r="E1671" s="14"/>
      <c r="F1671" s="14"/>
    </row>
    <row r="1672" spans="1:6" s="11" customFormat="1" x14ac:dyDescent="0.25">
      <c r="A1672" s="12"/>
      <c r="B1672" s="13"/>
      <c r="C1672" s="13"/>
      <c r="D1672" s="14"/>
      <c r="E1672" s="14"/>
      <c r="F1672" s="14"/>
    </row>
    <row r="1673" spans="1:6" s="11" customFormat="1" x14ac:dyDescent="0.25">
      <c r="A1673" s="12"/>
      <c r="B1673" s="13"/>
      <c r="C1673" s="13"/>
      <c r="D1673" s="14"/>
      <c r="E1673" s="14"/>
      <c r="F1673" s="14"/>
    </row>
    <row r="1674" spans="1:6" s="11" customFormat="1" x14ac:dyDescent="0.25">
      <c r="A1674" s="12"/>
      <c r="B1674" s="13"/>
      <c r="C1674" s="13"/>
      <c r="D1674" s="14"/>
      <c r="E1674" s="14"/>
      <c r="F1674" s="14"/>
    </row>
    <row r="1675" spans="1:6" s="11" customFormat="1" x14ac:dyDescent="0.25">
      <c r="A1675" s="12"/>
      <c r="B1675" s="13"/>
      <c r="C1675" s="13"/>
      <c r="D1675" s="14"/>
      <c r="E1675" s="14"/>
      <c r="F1675" s="14"/>
    </row>
    <row r="1676" spans="1:6" s="11" customFormat="1" x14ac:dyDescent="0.25">
      <c r="A1676" s="12"/>
      <c r="B1676" s="13"/>
      <c r="C1676" s="13"/>
      <c r="D1676" s="14"/>
      <c r="E1676" s="14"/>
      <c r="F1676" s="14"/>
    </row>
    <row r="1677" spans="1:6" s="11" customFormat="1" x14ac:dyDescent="0.25">
      <c r="A1677" s="12"/>
      <c r="B1677" s="13"/>
      <c r="C1677" s="13"/>
      <c r="D1677" s="14"/>
      <c r="E1677" s="14"/>
      <c r="F1677" s="14"/>
    </row>
    <row r="1678" spans="1:6" s="11" customFormat="1" x14ac:dyDescent="0.25">
      <c r="A1678" s="12"/>
      <c r="B1678" s="13"/>
      <c r="C1678" s="13"/>
      <c r="D1678" s="14"/>
      <c r="E1678" s="14"/>
      <c r="F1678" s="14"/>
    </row>
    <row r="1679" spans="1:6" s="11" customFormat="1" x14ac:dyDescent="0.25">
      <c r="A1679" s="12"/>
      <c r="B1679" s="13"/>
      <c r="C1679" s="13"/>
      <c r="D1679" s="14"/>
      <c r="E1679" s="14"/>
      <c r="F1679" s="14"/>
    </row>
    <row r="1680" spans="1:6" s="11" customFormat="1" x14ac:dyDescent="0.25">
      <c r="A1680" s="12"/>
      <c r="B1680" s="13"/>
      <c r="C1680" s="13"/>
      <c r="D1680" s="14"/>
      <c r="E1680" s="14"/>
      <c r="F1680" s="14"/>
    </row>
    <row r="1681" spans="1:6" s="11" customFormat="1" x14ac:dyDescent="0.25">
      <c r="A1681" s="12"/>
      <c r="B1681" s="13"/>
      <c r="C1681" s="13"/>
      <c r="D1681" s="14"/>
      <c r="E1681" s="14"/>
      <c r="F1681" s="14"/>
    </row>
    <row r="1682" spans="1:6" s="11" customFormat="1" x14ac:dyDescent="0.25">
      <c r="A1682" s="12"/>
      <c r="B1682" s="13"/>
      <c r="C1682" s="13"/>
      <c r="D1682" s="14"/>
      <c r="E1682" s="14"/>
      <c r="F1682" s="14"/>
    </row>
    <row r="1683" spans="1:6" s="11" customFormat="1" x14ac:dyDescent="0.25">
      <c r="A1683" s="12"/>
      <c r="B1683" s="13"/>
      <c r="C1683" s="13"/>
      <c r="D1683" s="14"/>
      <c r="E1683" s="14"/>
      <c r="F1683" s="14"/>
    </row>
    <row r="1684" spans="1:6" s="11" customFormat="1" x14ac:dyDescent="0.25">
      <c r="A1684" s="12"/>
      <c r="B1684" s="13"/>
      <c r="C1684" s="13"/>
      <c r="D1684" s="14"/>
      <c r="E1684" s="14"/>
      <c r="F1684" s="14"/>
    </row>
    <row r="1685" spans="1:6" s="11" customFormat="1" x14ac:dyDescent="0.25">
      <c r="A1685" s="12"/>
      <c r="B1685" s="13"/>
      <c r="C1685" s="13"/>
      <c r="D1685" s="14"/>
      <c r="E1685" s="14"/>
      <c r="F1685" s="14"/>
    </row>
    <row r="1686" spans="1:6" s="11" customFormat="1" x14ac:dyDescent="0.25">
      <c r="A1686" s="12"/>
      <c r="B1686" s="13"/>
      <c r="C1686" s="13"/>
      <c r="D1686" s="14"/>
      <c r="E1686" s="14"/>
      <c r="F1686" s="14"/>
    </row>
    <row r="1687" spans="1:6" s="11" customFormat="1" x14ac:dyDescent="0.25">
      <c r="A1687" s="12"/>
      <c r="B1687" s="13"/>
      <c r="C1687" s="13"/>
      <c r="D1687" s="14"/>
      <c r="E1687" s="14"/>
      <c r="F1687" s="14"/>
    </row>
    <row r="1688" spans="1:6" s="11" customFormat="1" x14ac:dyDescent="0.25">
      <c r="A1688" s="12"/>
      <c r="B1688" s="13"/>
      <c r="C1688" s="13"/>
      <c r="D1688" s="14"/>
      <c r="E1688" s="14"/>
      <c r="F1688" s="14"/>
    </row>
    <row r="1689" spans="1:6" s="11" customFormat="1" x14ac:dyDescent="0.25">
      <c r="A1689" s="12"/>
      <c r="B1689" s="13"/>
      <c r="C1689" s="13"/>
      <c r="D1689" s="14"/>
      <c r="E1689" s="14"/>
      <c r="F1689" s="14"/>
    </row>
    <row r="1690" spans="1:6" s="11" customFormat="1" x14ac:dyDescent="0.25">
      <c r="A1690" s="12"/>
      <c r="B1690" s="13"/>
      <c r="C1690" s="13"/>
      <c r="D1690" s="14"/>
      <c r="E1690" s="14"/>
      <c r="F1690" s="14"/>
    </row>
    <row r="1691" spans="1:6" s="11" customFormat="1" x14ac:dyDescent="0.25">
      <c r="A1691" s="12"/>
      <c r="B1691" s="13"/>
      <c r="C1691" s="13"/>
      <c r="D1691" s="14"/>
      <c r="E1691" s="14"/>
      <c r="F1691" s="14"/>
    </row>
    <row r="1692" spans="1:6" s="11" customFormat="1" x14ac:dyDescent="0.25">
      <c r="A1692" s="12"/>
      <c r="B1692" s="13"/>
      <c r="C1692" s="13"/>
      <c r="D1692" s="14"/>
      <c r="E1692" s="14"/>
      <c r="F1692" s="14"/>
    </row>
    <row r="1693" spans="1:6" s="11" customFormat="1" x14ac:dyDescent="0.25">
      <c r="A1693" s="12"/>
      <c r="B1693" s="13"/>
      <c r="C1693" s="13"/>
      <c r="D1693" s="14"/>
      <c r="E1693" s="14"/>
      <c r="F1693" s="14"/>
    </row>
    <row r="1694" spans="1:6" s="11" customFormat="1" x14ac:dyDescent="0.25">
      <c r="A1694" s="12"/>
      <c r="B1694" s="13"/>
      <c r="C1694" s="13"/>
      <c r="D1694" s="14"/>
      <c r="E1694" s="14"/>
      <c r="F1694" s="14"/>
    </row>
    <row r="1695" spans="1:6" s="11" customFormat="1" x14ac:dyDescent="0.25">
      <c r="A1695" s="12"/>
      <c r="B1695" s="13"/>
      <c r="C1695" s="13"/>
      <c r="D1695" s="14"/>
      <c r="E1695" s="14"/>
      <c r="F1695" s="14"/>
    </row>
    <row r="1696" spans="1:6" s="11" customFormat="1" x14ac:dyDescent="0.25">
      <c r="A1696" s="12"/>
      <c r="B1696" s="13"/>
      <c r="C1696" s="13"/>
      <c r="D1696" s="14"/>
      <c r="E1696" s="14"/>
      <c r="F1696" s="14"/>
    </row>
    <row r="1697" spans="1:6" s="11" customFormat="1" x14ac:dyDescent="0.25">
      <c r="A1697" s="12"/>
      <c r="B1697" s="13"/>
      <c r="C1697" s="13"/>
      <c r="D1697" s="14"/>
      <c r="E1697" s="14"/>
      <c r="F1697" s="14"/>
    </row>
    <row r="1698" spans="1:6" s="11" customFormat="1" x14ac:dyDescent="0.25">
      <c r="A1698" s="12"/>
      <c r="B1698" s="13"/>
      <c r="C1698" s="13"/>
      <c r="D1698" s="14"/>
      <c r="E1698" s="14"/>
      <c r="F1698" s="14"/>
    </row>
    <row r="1699" spans="1:6" s="11" customFormat="1" x14ac:dyDescent="0.25">
      <c r="A1699" s="12"/>
      <c r="B1699" s="13"/>
      <c r="C1699" s="13"/>
      <c r="D1699" s="14"/>
      <c r="E1699" s="14"/>
      <c r="F1699" s="14"/>
    </row>
    <row r="1700" spans="1:6" s="11" customFormat="1" x14ac:dyDescent="0.25">
      <c r="A1700" s="12"/>
      <c r="B1700" s="13"/>
      <c r="C1700" s="13"/>
      <c r="D1700" s="14"/>
      <c r="E1700" s="14"/>
      <c r="F1700" s="14"/>
    </row>
    <row r="1701" spans="1:6" s="11" customFormat="1" x14ac:dyDescent="0.25">
      <c r="A1701" s="12"/>
      <c r="B1701" s="13"/>
      <c r="C1701" s="13"/>
      <c r="D1701" s="14"/>
      <c r="E1701" s="14"/>
      <c r="F1701" s="14"/>
    </row>
    <row r="1702" spans="1:6" s="11" customFormat="1" x14ac:dyDescent="0.25">
      <c r="A1702" s="12"/>
      <c r="B1702" s="13"/>
      <c r="C1702" s="13"/>
      <c r="D1702" s="14"/>
      <c r="E1702" s="14"/>
      <c r="F1702" s="14"/>
    </row>
    <row r="1703" spans="1:6" s="11" customFormat="1" x14ac:dyDescent="0.25">
      <c r="A1703" s="12"/>
      <c r="B1703" s="13"/>
      <c r="C1703" s="13"/>
      <c r="D1703" s="14"/>
      <c r="E1703" s="14"/>
      <c r="F1703" s="14"/>
    </row>
    <row r="1704" spans="1:6" s="11" customFormat="1" x14ac:dyDescent="0.25">
      <c r="A1704" s="12"/>
      <c r="B1704" s="13"/>
      <c r="C1704" s="13"/>
      <c r="D1704" s="14"/>
      <c r="E1704" s="14"/>
      <c r="F1704" s="14"/>
    </row>
    <row r="1705" spans="1:6" s="11" customFormat="1" x14ac:dyDescent="0.25">
      <c r="A1705" s="12"/>
      <c r="B1705" s="13"/>
      <c r="C1705" s="13"/>
      <c r="D1705" s="14"/>
      <c r="E1705" s="14"/>
      <c r="F1705" s="14"/>
    </row>
    <row r="1706" spans="1:6" s="11" customFormat="1" x14ac:dyDescent="0.25">
      <c r="A1706" s="12"/>
      <c r="B1706" s="13"/>
      <c r="C1706" s="13"/>
      <c r="D1706" s="14"/>
      <c r="E1706" s="14"/>
      <c r="F1706" s="14"/>
    </row>
    <row r="1707" spans="1:6" s="11" customFormat="1" x14ac:dyDescent="0.25">
      <c r="A1707" s="12"/>
      <c r="B1707" s="13"/>
      <c r="C1707" s="13"/>
      <c r="D1707" s="14"/>
      <c r="E1707" s="14"/>
      <c r="F1707" s="14"/>
    </row>
    <row r="1708" spans="1:6" s="11" customFormat="1" x14ac:dyDescent="0.25">
      <c r="A1708" s="12"/>
      <c r="B1708" s="13"/>
      <c r="C1708" s="13"/>
      <c r="D1708" s="14"/>
      <c r="E1708" s="14"/>
      <c r="F1708" s="14"/>
    </row>
    <row r="1709" spans="1:6" s="11" customFormat="1" x14ac:dyDescent="0.25">
      <c r="A1709" s="12"/>
      <c r="B1709" s="13"/>
      <c r="C1709" s="13"/>
      <c r="D1709" s="14"/>
      <c r="E1709" s="14"/>
      <c r="F1709" s="14"/>
    </row>
    <row r="1710" spans="1:6" s="11" customFormat="1" x14ac:dyDescent="0.25">
      <c r="A1710" s="12"/>
      <c r="B1710" s="13"/>
      <c r="C1710" s="13"/>
      <c r="D1710" s="14"/>
      <c r="E1710" s="14"/>
      <c r="F1710" s="14"/>
    </row>
    <row r="1711" spans="1:6" s="11" customFormat="1" x14ac:dyDescent="0.25">
      <c r="A1711" s="12"/>
      <c r="B1711" s="13"/>
      <c r="C1711" s="13"/>
      <c r="D1711" s="14"/>
      <c r="E1711" s="14"/>
      <c r="F1711" s="14"/>
    </row>
    <row r="1712" spans="1:6" s="11" customFormat="1" x14ac:dyDescent="0.25">
      <c r="A1712" s="12"/>
      <c r="B1712" s="13"/>
      <c r="C1712" s="13"/>
      <c r="D1712" s="14"/>
      <c r="E1712" s="14"/>
      <c r="F1712" s="14"/>
    </row>
    <row r="1713" spans="1:6" s="11" customFormat="1" x14ac:dyDescent="0.25">
      <c r="A1713" s="12"/>
      <c r="B1713" s="13"/>
      <c r="C1713" s="13"/>
      <c r="D1713" s="14"/>
      <c r="E1713" s="14"/>
      <c r="F1713" s="14"/>
    </row>
    <row r="1714" spans="1:6" s="11" customFormat="1" x14ac:dyDescent="0.25">
      <c r="A1714" s="12"/>
      <c r="B1714" s="13"/>
      <c r="C1714" s="13"/>
      <c r="D1714" s="14"/>
      <c r="E1714" s="14"/>
      <c r="F1714" s="14"/>
    </row>
    <row r="1715" spans="1:6" s="11" customFormat="1" x14ac:dyDescent="0.25">
      <c r="A1715" s="12"/>
      <c r="B1715" s="13"/>
      <c r="C1715" s="13"/>
      <c r="D1715" s="14"/>
      <c r="E1715" s="14"/>
      <c r="F1715" s="14"/>
    </row>
    <row r="1716" spans="1:6" s="11" customFormat="1" x14ac:dyDescent="0.25">
      <c r="A1716" s="12"/>
      <c r="B1716" s="13"/>
      <c r="C1716" s="13"/>
      <c r="D1716" s="14"/>
      <c r="E1716" s="14"/>
      <c r="F1716" s="14"/>
    </row>
    <row r="1717" spans="1:6" s="11" customFormat="1" x14ac:dyDescent="0.25">
      <c r="A1717" s="12"/>
      <c r="B1717" s="13"/>
      <c r="C1717" s="13"/>
      <c r="D1717" s="14"/>
      <c r="E1717" s="14"/>
      <c r="F1717" s="14"/>
    </row>
    <row r="1718" spans="1:6" s="11" customFormat="1" x14ac:dyDescent="0.25">
      <c r="A1718" s="12"/>
      <c r="B1718" s="13"/>
      <c r="C1718" s="13"/>
      <c r="D1718" s="14"/>
      <c r="E1718" s="14"/>
      <c r="F1718" s="14"/>
    </row>
    <row r="1719" spans="1:6" s="11" customFormat="1" x14ac:dyDescent="0.25">
      <c r="A1719" s="12"/>
      <c r="B1719" s="13"/>
      <c r="C1719" s="13"/>
      <c r="D1719" s="14"/>
      <c r="E1719" s="14"/>
      <c r="F1719" s="14"/>
    </row>
    <row r="1720" spans="1:6" s="11" customFormat="1" x14ac:dyDescent="0.25">
      <c r="A1720" s="12"/>
      <c r="B1720" s="13"/>
      <c r="C1720" s="13"/>
      <c r="D1720" s="14"/>
      <c r="E1720" s="14"/>
      <c r="F1720" s="14"/>
    </row>
    <row r="1721" spans="1:6" s="11" customFormat="1" x14ac:dyDescent="0.25">
      <c r="A1721" s="12"/>
      <c r="B1721" s="13"/>
      <c r="C1721" s="13"/>
      <c r="D1721" s="14"/>
      <c r="E1721" s="14"/>
      <c r="F1721" s="14"/>
    </row>
    <row r="1722" spans="1:6" s="11" customFormat="1" x14ac:dyDescent="0.25">
      <c r="A1722" s="12"/>
      <c r="B1722" s="13"/>
      <c r="C1722" s="13"/>
      <c r="D1722" s="14"/>
      <c r="E1722" s="14"/>
      <c r="F1722" s="14"/>
    </row>
    <row r="1723" spans="1:6" s="11" customFormat="1" x14ac:dyDescent="0.25">
      <c r="A1723" s="12"/>
      <c r="B1723" s="13"/>
      <c r="C1723" s="13"/>
      <c r="D1723" s="14"/>
      <c r="E1723" s="14"/>
      <c r="F1723" s="14"/>
    </row>
    <row r="1724" spans="1:6" s="11" customFormat="1" x14ac:dyDescent="0.25">
      <c r="A1724" s="12"/>
      <c r="B1724" s="13"/>
      <c r="C1724" s="13"/>
      <c r="D1724" s="14"/>
      <c r="E1724" s="14"/>
      <c r="F1724" s="14"/>
    </row>
    <row r="1725" spans="1:6" s="11" customFormat="1" x14ac:dyDescent="0.25">
      <c r="A1725" s="12"/>
      <c r="B1725" s="13"/>
      <c r="C1725" s="13"/>
      <c r="D1725" s="14"/>
      <c r="E1725" s="14"/>
      <c r="F1725" s="14"/>
    </row>
    <row r="1726" spans="1:6" s="11" customFormat="1" x14ac:dyDescent="0.25">
      <c r="A1726" s="12"/>
      <c r="B1726" s="13"/>
      <c r="C1726" s="13"/>
      <c r="D1726" s="14"/>
      <c r="E1726" s="14"/>
      <c r="F1726" s="14"/>
    </row>
    <row r="1727" spans="1:6" s="11" customFormat="1" x14ac:dyDescent="0.25">
      <c r="A1727" s="12"/>
      <c r="B1727" s="13"/>
      <c r="C1727" s="13"/>
      <c r="D1727" s="14"/>
      <c r="E1727" s="14"/>
      <c r="F1727" s="14"/>
    </row>
    <row r="1728" spans="1:6" s="11" customFormat="1" x14ac:dyDescent="0.25">
      <c r="A1728" s="12"/>
      <c r="B1728" s="13"/>
      <c r="C1728" s="13"/>
      <c r="D1728" s="14"/>
      <c r="E1728" s="14"/>
      <c r="F1728" s="14"/>
    </row>
    <row r="1729" spans="1:6" s="11" customFormat="1" x14ac:dyDescent="0.25">
      <c r="A1729" s="12"/>
      <c r="B1729" s="13"/>
      <c r="C1729" s="13"/>
      <c r="D1729" s="14"/>
      <c r="E1729" s="14"/>
      <c r="F1729" s="14"/>
    </row>
    <row r="1730" spans="1:6" s="11" customFormat="1" x14ac:dyDescent="0.25">
      <c r="A1730" s="12"/>
      <c r="B1730" s="13"/>
      <c r="C1730" s="13"/>
      <c r="D1730" s="14"/>
      <c r="E1730" s="14"/>
      <c r="F1730" s="14"/>
    </row>
    <row r="1731" spans="1:6" s="11" customFormat="1" x14ac:dyDescent="0.25">
      <c r="A1731" s="12"/>
      <c r="B1731" s="13"/>
      <c r="C1731" s="13"/>
      <c r="D1731" s="14"/>
      <c r="E1731" s="14"/>
      <c r="F1731" s="14"/>
    </row>
    <row r="1732" spans="1:6" s="11" customFormat="1" x14ac:dyDescent="0.25">
      <c r="A1732" s="12"/>
      <c r="B1732" s="13"/>
      <c r="C1732" s="13"/>
      <c r="D1732" s="14"/>
      <c r="E1732" s="14"/>
      <c r="F1732" s="14"/>
    </row>
    <row r="1733" spans="1:6" s="11" customFormat="1" x14ac:dyDescent="0.25">
      <c r="A1733" s="12"/>
      <c r="B1733" s="13"/>
      <c r="C1733" s="13"/>
      <c r="D1733" s="14"/>
      <c r="E1733" s="14"/>
      <c r="F1733" s="14"/>
    </row>
    <row r="1734" spans="1:6" s="11" customFormat="1" x14ac:dyDescent="0.25">
      <c r="A1734" s="12"/>
      <c r="B1734" s="13"/>
      <c r="C1734" s="13"/>
      <c r="D1734" s="14"/>
      <c r="E1734" s="14"/>
      <c r="F1734" s="14"/>
    </row>
    <row r="1735" spans="1:6" s="11" customFormat="1" x14ac:dyDescent="0.25">
      <c r="A1735" s="12"/>
      <c r="B1735" s="13"/>
      <c r="C1735" s="13"/>
      <c r="D1735" s="14"/>
      <c r="E1735" s="14"/>
      <c r="F1735" s="14"/>
    </row>
    <row r="1736" spans="1:6" s="11" customFormat="1" x14ac:dyDescent="0.25">
      <c r="A1736" s="12"/>
      <c r="B1736" s="13"/>
      <c r="C1736" s="13"/>
      <c r="D1736" s="14"/>
      <c r="E1736" s="14"/>
      <c r="F1736" s="14"/>
    </row>
    <row r="1737" spans="1:6" s="11" customFormat="1" x14ac:dyDescent="0.25">
      <c r="A1737" s="12"/>
      <c r="B1737" s="13"/>
      <c r="C1737" s="13"/>
      <c r="D1737" s="14"/>
      <c r="E1737" s="14"/>
      <c r="F1737" s="14"/>
    </row>
    <row r="1738" spans="1:6" s="11" customFormat="1" x14ac:dyDescent="0.25">
      <c r="A1738" s="12"/>
      <c r="B1738" s="13"/>
      <c r="C1738" s="13"/>
      <c r="D1738" s="14"/>
      <c r="E1738" s="14"/>
      <c r="F1738" s="14"/>
    </row>
    <row r="1739" spans="1:6" s="11" customFormat="1" x14ac:dyDescent="0.25">
      <c r="A1739" s="12"/>
      <c r="B1739" s="13"/>
      <c r="C1739" s="13"/>
      <c r="D1739" s="14"/>
      <c r="E1739" s="14"/>
      <c r="F1739" s="14"/>
    </row>
    <row r="1740" spans="1:6" s="11" customFormat="1" x14ac:dyDescent="0.25">
      <c r="A1740" s="12"/>
      <c r="B1740" s="13"/>
      <c r="C1740" s="13"/>
      <c r="D1740" s="14"/>
      <c r="E1740" s="14"/>
      <c r="F1740" s="14"/>
    </row>
    <row r="1741" spans="1:6" s="11" customFormat="1" x14ac:dyDescent="0.25">
      <c r="A1741" s="12"/>
      <c r="B1741" s="13"/>
      <c r="C1741" s="13"/>
      <c r="D1741" s="14"/>
      <c r="E1741" s="14"/>
      <c r="F1741" s="14"/>
    </row>
    <row r="1742" spans="1:6" s="11" customFormat="1" x14ac:dyDescent="0.25">
      <c r="A1742" s="12"/>
      <c r="B1742" s="13"/>
      <c r="C1742" s="13"/>
      <c r="D1742" s="14"/>
      <c r="E1742" s="14"/>
      <c r="F1742" s="14"/>
    </row>
    <row r="1743" spans="1:6" s="11" customFormat="1" x14ac:dyDescent="0.25">
      <c r="A1743" s="12"/>
      <c r="B1743" s="13"/>
      <c r="C1743" s="13"/>
      <c r="D1743" s="14"/>
      <c r="E1743" s="14"/>
      <c r="F1743" s="14"/>
    </row>
    <row r="1744" spans="1:6" s="11" customFormat="1" x14ac:dyDescent="0.25">
      <c r="A1744" s="12"/>
      <c r="B1744" s="13"/>
      <c r="C1744" s="13"/>
      <c r="D1744" s="14"/>
      <c r="E1744" s="14"/>
      <c r="F1744" s="14"/>
    </row>
    <row r="1745" spans="1:6" s="11" customFormat="1" x14ac:dyDescent="0.25">
      <c r="A1745" s="12"/>
      <c r="B1745" s="13"/>
      <c r="C1745" s="13"/>
      <c r="D1745" s="14"/>
      <c r="E1745" s="14"/>
      <c r="F1745" s="14"/>
    </row>
    <row r="1746" spans="1:6" s="11" customFormat="1" x14ac:dyDescent="0.25">
      <c r="A1746" s="12"/>
      <c r="B1746" s="13"/>
      <c r="C1746" s="13"/>
      <c r="D1746" s="14"/>
      <c r="E1746" s="14"/>
      <c r="F1746" s="14"/>
    </row>
    <row r="1747" spans="1:6" s="11" customFormat="1" x14ac:dyDescent="0.25">
      <c r="A1747" s="12"/>
      <c r="B1747" s="13"/>
      <c r="C1747" s="13"/>
      <c r="D1747" s="14"/>
      <c r="E1747" s="14"/>
      <c r="F1747" s="14"/>
    </row>
    <row r="1748" spans="1:6" s="11" customFormat="1" x14ac:dyDescent="0.25">
      <c r="A1748" s="12"/>
      <c r="B1748" s="13"/>
      <c r="C1748" s="13"/>
      <c r="D1748" s="14"/>
      <c r="E1748" s="14"/>
      <c r="F1748" s="14"/>
    </row>
    <row r="1749" spans="1:6" s="11" customFormat="1" x14ac:dyDescent="0.25">
      <c r="A1749" s="12"/>
      <c r="B1749" s="13"/>
      <c r="C1749" s="13"/>
      <c r="D1749" s="14"/>
      <c r="E1749" s="14"/>
      <c r="F1749" s="14"/>
    </row>
    <row r="1750" spans="1:6" s="11" customFormat="1" x14ac:dyDescent="0.25">
      <c r="A1750" s="12"/>
      <c r="B1750" s="13"/>
      <c r="C1750" s="13"/>
      <c r="D1750" s="14"/>
      <c r="E1750" s="14"/>
      <c r="F1750" s="14"/>
    </row>
    <row r="1751" spans="1:6" s="11" customFormat="1" x14ac:dyDescent="0.25">
      <c r="A1751" s="12"/>
      <c r="B1751" s="13"/>
      <c r="C1751" s="13"/>
      <c r="D1751" s="14"/>
      <c r="E1751" s="14"/>
      <c r="F1751" s="14"/>
    </row>
    <row r="1752" spans="1:6" s="11" customFormat="1" x14ac:dyDescent="0.25">
      <c r="A1752" s="12"/>
      <c r="B1752" s="13"/>
      <c r="C1752" s="13"/>
      <c r="D1752" s="14"/>
      <c r="E1752" s="14"/>
      <c r="F1752" s="14"/>
    </row>
    <row r="1753" spans="1:6" s="11" customFormat="1" x14ac:dyDescent="0.25">
      <c r="A1753" s="12"/>
      <c r="B1753" s="13"/>
      <c r="C1753" s="13"/>
      <c r="D1753" s="14"/>
      <c r="E1753" s="14"/>
      <c r="F1753" s="14"/>
    </row>
    <row r="1754" spans="1:6" s="11" customFormat="1" x14ac:dyDescent="0.25">
      <c r="A1754" s="12"/>
      <c r="B1754" s="13"/>
      <c r="C1754" s="13"/>
      <c r="D1754" s="14"/>
      <c r="E1754" s="14"/>
      <c r="F1754" s="14"/>
    </row>
    <row r="1755" spans="1:6" s="11" customFormat="1" x14ac:dyDescent="0.25">
      <c r="A1755" s="12"/>
      <c r="B1755" s="13"/>
      <c r="C1755" s="13"/>
      <c r="D1755" s="14"/>
      <c r="E1755" s="14"/>
      <c r="F1755" s="14"/>
    </row>
    <row r="1756" spans="1:6" s="11" customFormat="1" x14ac:dyDescent="0.25">
      <c r="A1756" s="12"/>
      <c r="B1756" s="13"/>
      <c r="C1756" s="13"/>
      <c r="D1756" s="14"/>
      <c r="E1756" s="14"/>
      <c r="F1756" s="14"/>
    </row>
    <row r="1757" spans="1:6" s="11" customFormat="1" x14ac:dyDescent="0.25">
      <c r="A1757" s="12"/>
      <c r="B1757" s="13"/>
      <c r="C1757" s="13"/>
      <c r="D1757" s="14"/>
      <c r="E1757" s="14"/>
      <c r="F1757" s="14"/>
    </row>
    <row r="1758" spans="1:6" s="11" customFormat="1" x14ac:dyDescent="0.25">
      <c r="A1758" s="12"/>
      <c r="B1758" s="13"/>
      <c r="C1758" s="13"/>
      <c r="D1758" s="14"/>
      <c r="E1758" s="14"/>
      <c r="F1758" s="14"/>
    </row>
    <row r="1759" spans="1:6" s="11" customFormat="1" x14ac:dyDescent="0.25">
      <c r="A1759" s="12"/>
      <c r="B1759" s="13"/>
      <c r="C1759" s="13"/>
      <c r="D1759" s="14"/>
      <c r="E1759" s="14"/>
      <c r="F1759" s="14"/>
    </row>
    <row r="1760" spans="1:6" s="11" customFormat="1" x14ac:dyDescent="0.25">
      <c r="A1760" s="12"/>
      <c r="B1760" s="13"/>
      <c r="C1760" s="13"/>
      <c r="D1760" s="14"/>
      <c r="E1760" s="14"/>
      <c r="F1760" s="14"/>
    </row>
    <row r="1761" spans="1:6" s="11" customFormat="1" x14ac:dyDescent="0.25">
      <c r="A1761" s="12"/>
      <c r="B1761" s="13"/>
      <c r="C1761" s="13"/>
      <c r="D1761" s="14"/>
      <c r="E1761" s="14"/>
      <c r="F1761" s="14"/>
    </row>
    <row r="1762" spans="1:6" s="11" customFormat="1" x14ac:dyDescent="0.25">
      <c r="A1762" s="12"/>
      <c r="B1762" s="13"/>
      <c r="C1762" s="13"/>
      <c r="D1762" s="14"/>
      <c r="E1762" s="14"/>
      <c r="F1762" s="14"/>
    </row>
    <row r="1763" spans="1:6" s="11" customFormat="1" x14ac:dyDescent="0.25">
      <c r="A1763" s="12"/>
      <c r="B1763" s="13"/>
      <c r="C1763" s="13"/>
      <c r="D1763" s="14"/>
      <c r="E1763" s="14"/>
      <c r="F1763" s="14"/>
    </row>
    <row r="1764" spans="1:6" s="11" customFormat="1" x14ac:dyDescent="0.25">
      <c r="A1764" s="12"/>
      <c r="B1764" s="13"/>
      <c r="C1764" s="13"/>
      <c r="D1764" s="14"/>
      <c r="E1764" s="14"/>
      <c r="F1764" s="14"/>
    </row>
    <row r="1765" spans="1:6" s="11" customFormat="1" x14ac:dyDescent="0.25">
      <c r="A1765" s="12"/>
      <c r="B1765" s="13"/>
      <c r="C1765" s="13"/>
      <c r="D1765" s="14"/>
      <c r="E1765" s="14"/>
      <c r="F1765" s="14"/>
    </row>
    <row r="1766" spans="1:6" s="11" customFormat="1" x14ac:dyDescent="0.25">
      <c r="A1766" s="12"/>
      <c r="B1766" s="13"/>
      <c r="C1766" s="13"/>
      <c r="D1766" s="14"/>
      <c r="E1766" s="14"/>
      <c r="F1766" s="14"/>
    </row>
    <row r="1767" spans="1:6" s="11" customFormat="1" x14ac:dyDescent="0.25">
      <c r="A1767" s="12"/>
      <c r="B1767" s="13"/>
      <c r="C1767" s="13"/>
      <c r="D1767" s="14"/>
      <c r="E1767" s="14"/>
      <c r="F1767" s="14"/>
    </row>
    <row r="1768" spans="1:6" s="11" customFormat="1" x14ac:dyDescent="0.25">
      <c r="A1768" s="12"/>
      <c r="B1768" s="13"/>
      <c r="C1768" s="13"/>
      <c r="D1768" s="14"/>
      <c r="E1768" s="14"/>
      <c r="F1768" s="14"/>
    </row>
    <row r="1769" spans="1:6" s="11" customFormat="1" x14ac:dyDescent="0.25">
      <c r="A1769" s="12"/>
      <c r="B1769" s="13"/>
      <c r="C1769" s="13"/>
      <c r="D1769" s="14"/>
      <c r="E1769" s="14"/>
      <c r="F1769" s="14"/>
    </row>
    <row r="1770" spans="1:6" s="11" customFormat="1" x14ac:dyDescent="0.25">
      <c r="A1770" s="12"/>
      <c r="B1770" s="13"/>
      <c r="C1770" s="13"/>
      <c r="D1770" s="14"/>
      <c r="E1770" s="14"/>
      <c r="F1770" s="14"/>
    </row>
    <row r="1771" spans="1:6" s="11" customFormat="1" x14ac:dyDescent="0.25">
      <c r="A1771" s="12"/>
      <c r="B1771" s="13"/>
      <c r="C1771" s="13"/>
      <c r="D1771" s="14"/>
      <c r="E1771" s="14"/>
      <c r="F1771" s="14"/>
    </row>
    <row r="1772" spans="1:6" s="11" customFormat="1" x14ac:dyDescent="0.25">
      <c r="A1772" s="12"/>
      <c r="B1772" s="13"/>
      <c r="C1772" s="13"/>
      <c r="D1772" s="14"/>
      <c r="E1772" s="14"/>
      <c r="F1772" s="14"/>
    </row>
    <row r="1773" spans="1:6" s="11" customFormat="1" x14ac:dyDescent="0.25">
      <c r="A1773" s="12"/>
      <c r="B1773" s="13"/>
      <c r="C1773" s="13"/>
      <c r="D1773" s="14"/>
      <c r="E1773" s="14"/>
      <c r="F1773" s="14"/>
    </row>
    <row r="1774" spans="1:6" s="11" customFormat="1" x14ac:dyDescent="0.25">
      <c r="A1774" s="12"/>
      <c r="B1774" s="13"/>
      <c r="C1774" s="13"/>
      <c r="D1774" s="14"/>
      <c r="E1774" s="14"/>
      <c r="F1774" s="14"/>
    </row>
    <row r="1775" spans="1:6" s="11" customFormat="1" x14ac:dyDescent="0.25">
      <c r="A1775" s="12"/>
      <c r="B1775" s="13"/>
      <c r="C1775" s="13"/>
      <c r="D1775" s="14"/>
      <c r="E1775" s="14"/>
      <c r="F1775" s="14"/>
    </row>
    <row r="1776" spans="1:6" s="11" customFormat="1" x14ac:dyDescent="0.25">
      <c r="A1776" s="12"/>
      <c r="B1776" s="13"/>
      <c r="C1776" s="13"/>
      <c r="D1776" s="14"/>
      <c r="E1776" s="14"/>
      <c r="F1776" s="14"/>
    </row>
    <row r="1777" spans="1:6" s="11" customFormat="1" x14ac:dyDescent="0.25">
      <c r="A1777" s="12"/>
      <c r="B1777" s="13"/>
      <c r="C1777" s="13"/>
      <c r="D1777" s="14"/>
      <c r="E1777" s="14"/>
      <c r="F1777" s="14"/>
    </row>
    <row r="1778" spans="1:6" s="11" customFormat="1" x14ac:dyDescent="0.25">
      <c r="A1778" s="12"/>
      <c r="B1778" s="13"/>
      <c r="C1778" s="13"/>
      <c r="D1778" s="14"/>
      <c r="E1778" s="14"/>
      <c r="F1778" s="14"/>
    </row>
    <row r="1779" spans="1:6" s="11" customFormat="1" x14ac:dyDescent="0.25">
      <c r="A1779" s="12"/>
      <c r="B1779" s="13"/>
      <c r="C1779" s="13"/>
      <c r="D1779" s="14"/>
      <c r="E1779" s="14"/>
      <c r="F1779" s="14"/>
    </row>
    <row r="1780" spans="1:6" s="11" customFormat="1" x14ac:dyDescent="0.25">
      <c r="A1780" s="12"/>
      <c r="B1780" s="13"/>
      <c r="C1780" s="13"/>
      <c r="D1780" s="14"/>
      <c r="E1780" s="14"/>
      <c r="F1780" s="14"/>
    </row>
    <row r="1781" spans="1:6" s="11" customFormat="1" x14ac:dyDescent="0.25">
      <c r="A1781" s="12"/>
      <c r="B1781" s="13"/>
      <c r="C1781" s="13"/>
      <c r="D1781" s="14"/>
      <c r="E1781" s="14"/>
      <c r="F1781" s="14"/>
    </row>
    <row r="1782" spans="1:6" s="11" customFormat="1" x14ac:dyDescent="0.25">
      <c r="A1782" s="12"/>
      <c r="B1782" s="13"/>
      <c r="C1782" s="13"/>
      <c r="D1782" s="14"/>
      <c r="E1782" s="14"/>
      <c r="F1782" s="14"/>
    </row>
    <row r="1783" spans="1:6" s="11" customFormat="1" x14ac:dyDescent="0.25">
      <c r="A1783" s="12"/>
      <c r="B1783" s="13"/>
      <c r="C1783" s="13"/>
      <c r="D1783" s="14"/>
      <c r="E1783" s="14"/>
      <c r="F1783" s="14"/>
    </row>
    <row r="1784" spans="1:6" s="11" customFormat="1" x14ac:dyDescent="0.25">
      <c r="A1784" s="12"/>
      <c r="B1784" s="13"/>
      <c r="C1784" s="13"/>
      <c r="D1784" s="14"/>
      <c r="E1784" s="14"/>
      <c r="F1784" s="14"/>
    </row>
    <row r="1785" spans="1:6" s="11" customFormat="1" x14ac:dyDescent="0.25">
      <c r="A1785" s="12"/>
      <c r="B1785" s="13"/>
      <c r="C1785" s="13"/>
      <c r="D1785" s="14"/>
      <c r="E1785" s="14"/>
      <c r="F1785" s="14"/>
    </row>
    <row r="1786" spans="1:6" s="11" customFormat="1" x14ac:dyDescent="0.25">
      <c r="A1786" s="12"/>
      <c r="B1786" s="13"/>
      <c r="C1786" s="13"/>
      <c r="D1786" s="14"/>
      <c r="E1786" s="14"/>
      <c r="F1786" s="14"/>
    </row>
    <row r="1787" spans="1:6" s="11" customFormat="1" x14ac:dyDescent="0.25">
      <c r="A1787" s="12"/>
      <c r="B1787" s="13"/>
      <c r="C1787" s="13"/>
      <c r="D1787" s="14"/>
      <c r="E1787" s="14"/>
      <c r="F1787" s="14"/>
    </row>
    <row r="1788" spans="1:6" s="11" customFormat="1" x14ac:dyDescent="0.25">
      <c r="A1788" s="12"/>
      <c r="B1788" s="13"/>
      <c r="C1788" s="13"/>
      <c r="D1788" s="14"/>
      <c r="E1788" s="14"/>
      <c r="F1788" s="14"/>
    </row>
    <row r="1789" spans="1:6" s="11" customFormat="1" x14ac:dyDescent="0.25">
      <c r="A1789" s="12"/>
      <c r="B1789" s="13"/>
      <c r="C1789" s="13"/>
      <c r="D1789" s="14"/>
      <c r="E1789" s="14"/>
      <c r="F1789" s="14"/>
    </row>
    <row r="1790" spans="1:6" s="11" customFormat="1" x14ac:dyDescent="0.25">
      <c r="A1790" s="12"/>
      <c r="B1790" s="13"/>
      <c r="C1790" s="13"/>
      <c r="D1790" s="14"/>
      <c r="E1790" s="14"/>
      <c r="F1790" s="14"/>
    </row>
    <row r="1791" spans="1:6" s="11" customFormat="1" x14ac:dyDescent="0.25">
      <c r="A1791" s="12"/>
      <c r="B1791" s="13"/>
      <c r="C1791" s="13"/>
      <c r="D1791" s="14"/>
      <c r="E1791" s="14"/>
      <c r="F1791" s="14"/>
    </row>
    <row r="1792" spans="1:6" s="11" customFormat="1" x14ac:dyDescent="0.25">
      <c r="A1792" s="12"/>
      <c r="B1792" s="13"/>
      <c r="C1792" s="13"/>
      <c r="D1792" s="14"/>
      <c r="E1792" s="14"/>
      <c r="F1792" s="14"/>
    </row>
    <row r="1793" spans="1:6" s="11" customFormat="1" x14ac:dyDescent="0.25">
      <c r="A1793" s="12"/>
      <c r="B1793" s="13"/>
      <c r="C1793" s="13"/>
      <c r="D1793" s="14"/>
      <c r="E1793" s="14"/>
      <c r="F1793" s="14"/>
    </row>
    <row r="1794" spans="1:6" s="11" customFormat="1" x14ac:dyDescent="0.25">
      <c r="A1794" s="12"/>
      <c r="B1794" s="13"/>
      <c r="C1794" s="13"/>
      <c r="D1794" s="14"/>
      <c r="E1794" s="14"/>
      <c r="F1794" s="14"/>
    </row>
    <row r="1795" spans="1:6" s="11" customFormat="1" x14ac:dyDescent="0.25">
      <c r="A1795" s="12"/>
      <c r="B1795" s="13"/>
      <c r="C1795" s="13"/>
      <c r="D1795" s="14"/>
      <c r="E1795" s="14"/>
      <c r="F1795" s="14"/>
    </row>
    <row r="1796" spans="1:6" s="11" customFormat="1" x14ac:dyDescent="0.25">
      <c r="A1796" s="12"/>
      <c r="B1796" s="13"/>
      <c r="C1796" s="13"/>
      <c r="D1796" s="14"/>
      <c r="E1796" s="14"/>
      <c r="F1796" s="14"/>
    </row>
    <row r="1797" spans="1:6" s="11" customFormat="1" x14ac:dyDescent="0.25">
      <c r="A1797" s="12"/>
      <c r="B1797" s="13"/>
      <c r="C1797" s="13"/>
      <c r="D1797" s="14"/>
      <c r="E1797" s="14"/>
      <c r="F1797" s="14"/>
    </row>
    <row r="1798" spans="1:6" s="11" customFormat="1" x14ac:dyDescent="0.25">
      <c r="A1798" s="12"/>
      <c r="B1798" s="13"/>
      <c r="C1798" s="13"/>
      <c r="D1798" s="14"/>
      <c r="E1798" s="14"/>
      <c r="F1798" s="14"/>
    </row>
    <row r="1799" spans="1:6" s="11" customFormat="1" x14ac:dyDescent="0.25">
      <c r="A1799" s="12"/>
      <c r="B1799" s="13"/>
      <c r="C1799" s="13"/>
      <c r="D1799" s="14"/>
      <c r="E1799" s="14"/>
      <c r="F1799" s="14"/>
    </row>
    <row r="1800" spans="1:6" s="11" customFormat="1" x14ac:dyDescent="0.25">
      <c r="A1800" s="12"/>
      <c r="B1800" s="13"/>
      <c r="C1800" s="13"/>
      <c r="D1800" s="14"/>
      <c r="E1800" s="14"/>
      <c r="F1800" s="14"/>
    </row>
    <row r="1801" spans="1:6" s="11" customFormat="1" x14ac:dyDescent="0.25">
      <c r="A1801" s="12"/>
      <c r="B1801" s="13"/>
      <c r="C1801" s="13"/>
      <c r="D1801" s="14"/>
      <c r="E1801" s="14"/>
      <c r="F1801" s="14"/>
    </row>
    <row r="1802" spans="1:6" s="11" customFormat="1" x14ac:dyDescent="0.25">
      <c r="A1802" s="12"/>
      <c r="B1802" s="13"/>
      <c r="C1802" s="13"/>
      <c r="D1802" s="14"/>
      <c r="E1802" s="14"/>
      <c r="F1802" s="14"/>
    </row>
    <row r="1803" spans="1:6" s="11" customFormat="1" x14ac:dyDescent="0.25">
      <c r="A1803" s="12"/>
      <c r="B1803" s="13"/>
      <c r="C1803" s="13"/>
      <c r="D1803" s="14"/>
      <c r="E1803" s="14"/>
      <c r="F1803" s="14"/>
    </row>
    <row r="1804" spans="1:6" s="11" customFormat="1" x14ac:dyDescent="0.25">
      <c r="A1804" s="12"/>
      <c r="B1804" s="13"/>
      <c r="C1804" s="13"/>
      <c r="D1804" s="14"/>
      <c r="E1804" s="14"/>
      <c r="F1804" s="14"/>
    </row>
    <row r="1805" spans="1:6" s="11" customFormat="1" x14ac:dyDescent="0.25">
      <c r="A1805" s="12"/>
      <c r="B1805" s="13"/>
      <c r="C1805" s="13"/>
      <c r="D1805" s="14"/>
      <c r="E1805" s="14"/>
      <c r="F1805" s="14"/>
    </row>
    <row r="1806" spans="1:6" s="11" customFormat="1" x14ac:dyDescent="0.25">
      <c r="A1806" s="12"/>
      <c r="B1806" s="13"/>
      <c r="C1806" s="13"/>
      <c r="D1806" s="14"/>
      <c r="E1806" s="14"/>
      <c r="F1806" s="14"/>
    </row>
    <row r="1807" spans="1:6" s="11" customFormat="1" x14ac:dyDescent="0.25">
      <c r="A1807" s="12"/>
      <c r="B1807" s="13"/>
      <c r="C1807" s="13"/>
      <c r="D1807" s="14"/>
      <c r="E1807" s="14"/>
      <c r="F1807" s="14"/>
    </row>
    <row r="1808" spans="1:6" s="11" customFormat="1" x14ac:dyDescent="0.25">
      <c r="A1808" s="12"/>
      <c r="B1808" s="13"/>
      <c r="C1808" s="13"/>
      <c r="D1808" s="14"/>
      <c r="E1808" s="14"/>
      <c r="F1808" s="14"/>
    </row>
    <row r="1809" spans="1:6" s="11" customFormat="1" x14ac:dyDescent="0.25">
      <c r="A1809" s="12"/>
      <c r="B1809" s="13"/>
      <c r="C1809" s="13"/>
      <c r="D1809" s="14"/>
      <c r="E1809" s="14"/>
      <c r="F1809" s="14"/>
    </row>
    <row r="1810" spans="1:6" s="11" customFormat="1" x14ac:dyDescent="0.25">
      <c r="A1810" s="12"/>
      <c r="B1810" s="13"/>
      <c r="C1810" s="13"/>
      <c r="D1810" s="14"/>
      <c r="E1810" s="14"/>
      <c r="F1810" s="14"/>
    </row>
    <row r="1811" spans="1:6" s="11" customFormat="1" x14ac:dyDescent="0.25">
      <c r="A1811" s="12"/>
      <c r="B1811" s="13"/>
      <c r="C1811" s="13"/>
      <c r="D1811" s="14"/>
      <c r="E1811" s="14"/>
      <c r="F1811" s="14"/>
    </row>
    <row r="1812" spans="1:6" s="11" customFormat="1" x14ac:dyDescent="0.25">
      <c r="A1812" s="12"/>
      <c r="B1812" s="13"/>
      <c r="C1812" s="13"/>
      <c r="D1812" s="14"/>
      <c r="E1812" s="14"/>
      <c r="F1812" s="14"/>
    </row>
    <row r="1813" spans="1:6" s="11" customFormat="1" x14ac:dyDescent="0.25">
      <c r="A1813" s="12"/>
      <c r="B1813" s="13"/>
      <c r="C1813" s="13"/>
      <c r="D1813" s="14"/>
      <c r="E1813" s="14"/>
      <c r="F1813" s="14"/>
    </row>
    <row r="1814" spans="1:6" s="11" customFormat="1" x14ac:dyDescent="0.25">
      <c r="A1814" s="12"/>
      <c r="B1814" s="13"/>
      <c r="C1814" s="13"/>
      <c r="D1814" s="14"/>
      <c r="E1814" s="14"/>
      <c r="F1814" s="14"/>
    </row>
    <row r="1815" spans="1:6" s="11" customFormat="1" x14ac:dyDescent="0.25">
      <c r="A1815" s="12"/>
      <c r="B1815" s="13"/>
      <c r="C1815" s="13"/>
      <c r="D1815" s="14"/>
      <c r="E1815" s="14"/>
      <c r="F1815" s="14"/>
    </row>
    <row r="1816" spans="1:6" s="11" customFormat="1" x14ac:dyDescent="0.25">
      <c r="A1816" s="12"/>
      <c r="B1816" s="13"/>
      <c r="C1816" s="13"/>
      <c r="D1816" s="14"/>
      <c r="E1816" s="14"/>
      <c r="F1816" s="14"/>
    </row>
    <row r="1817" spans="1:6" s="11" customFormat="1" x14ac:dyDescent="0.25">
      <c r="A1817" s="12"/>
      <c r="B1817" s="13"/>
      <c r="C1817" s="13"/>
      <c r="D1817" s="14"/>
      <c r="E1817" s="14"/>
      <c r="F1817" s="14"/>
    </row>
    <row r="1818" spans="1:6" s="11" customFormat="1" x14ac:dyDescent="0.25">
      <c r="A1818" s="12"/>
      <c r="B1818" s="13"/>
      <c r="C1818" s="13"/>
      <c r="D1818" s="14"/>
      <c r="E1818" s="14"/>
      <c r="F1818" s="14"/>
    </row>
    <row r="1819" spans="1:6" s="11" customFormat="1" x14ac:dyDescent="0.25">
      <c r="A1819" s="12"/>
      <c r="B1819" s="13"/>
      <c r="C1819" s="13"/>
      <c r="D1819" s="14"/>
      <c r="E1819" s="14"/>
      <c r="F1819" s="14"/>
    </row>
    <row r="1820" spans="1:6" s="11" customFormat="1" x14ac:dyDescent="0.25">
      <c r="A1820" s="12"/>
      <c r="B1820" s="13"/>
      <c r="C1820" s="13"/>
      <c r="D1820" s="14"/>
      <c r="E1820" s="14"/>
      <c r="F1820" s="14"/>
    </row>
    <row r="1821" spans="1:6" s="11" customFormat="1" x14ac:dyDescent="0.25">
      <c r="A1821" s="12"/>
      <c r="B1821" s="13"/>
      <c r="C1821" s="13"/>
      <c r="D1821" s="14"/>
      <c r="E1821" s="14"/>
      <c r="F1821" s="14"/>
    </row>
    <row r="1822" spans="1:6" s="11" customFormat="1" x14ac:dyDescent="0.25">
      <c r="A1822" s="12"/>
      <c r="B1822" s="13"/>
      <c r="C1822" s="13"/>
      <c r="D1822" s="14"/>
      <c r="E1822" s="14"/>
      <c r="F1822" s="14"/>
    </row>
    <row r="1823" spans="1:6" s="11" customFormat="1" x14ac:dyDescent="0.25">
      <c r="A1823" s="12"/>
      <c r="B1823" s="13"/>
      <c r="C1823" s="13"/>
      <c r="D1823" s="14"/>
      <c r="E1823" s="14"/>
      <c r="F1823" s="14"/>
    </row>
    <row r="1824" spans="1:6" s="11" customFormat="1" x14ac:dyDescent="0.25">
      <c r="A1824" s="12"/>
      <c r="B1824" s="13"/>
      <c r="C1824" s="13"/>
      <c r="D1824" s="14"/>
      <c r="E1824" s="14"/>
      <c r="F1824" s="14"/>
    </row>
    <row r="1825" spans="1:6" s="11" customFormat="1" x14ac:dyDescent="0.25">
      <c r="A1825" s="12"/>
      <c r="B1825" s="13"/>
      <c r="C1825" s="13"/>
      <c r="D1825" s="14"/>
      <c r="E1825" s="14"/>
      <c r="F1825" s="14"/>
    </row>
    <row r="1826" spans="1:6" s="11" customFormat="1" x14ac:dyDescent="0.25">
      <c r="A1826" s="12"/>
      <c r="B1826" s="13"/>
      <c r="C1826" s="13"/>
      <c r="D1826" s="14"/>
      <c r="E1826" s="14"/>
      <c r="F1826" s="14"/>
    </row>
    <row r="1827" spans="1:6" s="11" customFormat="1" x14ac:dyDescent="0.25">
      <c r="A1827" s="12"/>
      <c r="B1827" s="13"/>
      <c r="C1827" s="13"/>
      <c r="D1827" s="14"/>
      <c r="E1827" s="14"/>
      <c r="F1827" s="14"/>
    </row>
    <row r="1828" spans="1:6" s="11" customFormat="1" x14ac:dyDescent="0.25">
      <c r="A1828" s="12"/>
      <c r="B1828" s="13"/>
      <c r="C1828" s="13"/>
      <c r="D1828" s="14"/>
      <c r="E1828" s="14"/>
      <c r="F1828" s="14"/>
    </row>
    <row r="1829" spans="1:6" s="11" customFormat="1" x14ac:dyDescent="0.25">
      <c r="A1829" s="12"/>
      <c r="B1829" s="13"/>
      <c r="C1829" s="13"/>
      <c r="D1829" s="14"/>
      <c r="E1829" s="14"/>
      <c r="F1829" s="14"/>
    </row>
    <row r="1830" spans="1:6" s="11" customFormat="1" x14ac:dyDescent="0.25">
      <c r="A1830" s="12"/>
      <c r="B1830" s="13"/>
      <c r="C1830" s="13"/>
      <c r="D1830" s="14"/>
      <c r="E1830" s="14"/>
      <c r="F1830" s="14"/>
    </row>
    <row r="1831" spans="1:6" s="11" customFormat="1" x14ac:dyDescent="0.25">
      <c r="A1831" s="12"/>
      <c r="B1831" s="13"/>
      <c r="C1831" s="13"/>
      <c r="D1831" s="14"/>
      <c r="E1831" s="14"/>
      <c r="F1831" s="14"/>
    </row>
    <row r="1832" spans="1:6" s="11" customFormat="1" x14ac:dyDescent="0.25">
      <c r="A1832" s="12"/>
      <c r="B1832" s="13"/>
      <c r="C1832" s="13"/>
      <c r="D1832" s="14"/>
      <c r="E1832" s="14"/>
      <c r="F1832" s="14"/>
    </row>
    <row r="1833" spans="1:6" s="11" customFormat="1" x14ac:dyDescent="0.25">
      <c r="A1833" s="12"/>
      <c r="B1833" s="13"/>
      <c r="C1833" s="13"/>
      <c r="D1833" s="14"/>
      <c r="E1833" s="14"/>
      <c r="F183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7E64-B6A3-45F8-AE3D-8995376CD9EB}">
  <sheetPr>
    <tabColor rgb="FFFFFF00"/>
  </sheetPr>
  <dimension ref="A1"/>
  <sheetViews>
    <sheetView workbookViewId="0">
      <selection sqref="A1:XFD8"/>
    </sheetView>
  </sheetViews>
  <sheetFormatPr defaultRowHeight="15" x14ac:dyDescent="0.25"/>
  <cols>
    <col min="1" max="2" width="24.42578125" bestFit="1" customWidth="1"/>
    <col min="3" max="3" width="14.855468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6EE7-D594-4655-BA75-8178E2A45B44}">
  <sheetPr>
    <tabColor rgb="FF92D050"/>
  </sheetPr>
  <dimension ref="A1:A3"/>
  <sheetViews>
    <sheetView workbookViewId="0">
      <selection activeCell="D11" sqref="D11"/>
    </sheetView>
  </sheetViews>
  <sheetFormatPr defaultRowHeight="15" x14ac:dyDescent="0.25"/>
  <cols>
    <col min="2" max="2" width="16.7109375" bestFit="1" customWidth="1"/>
  </cols>
  <sheetData>
    <row r="1" spans="1:1" x14ac:dyDescent="0.25">
      <c r="A1" t="s">
        <v>780</v>
      </c>
    </row>
    <row r="2" spans="1:1" x14ac:dyDescent="0.25">
      <c r="A2" t="s">
        <v>779</v>
      </c>
    </row>
    <row r="3" spans="1:1" x14ac:dyDescent="0.25">
      <c r="A3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boards</vt:lpstr>
      <vt:lpstr>prices</vt:lpstr>
      <vt:lpstr>coefs</vt:lpstr>
      <vt:lpstr>details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Valge</dc:creator>
  <cp:lastModifiedBy>Ilja Matjas</cp:lastModifiedBy>
  <dcterms:created xsi:type="dcterms:W3CDTF">2020-05-22T11:02:08Z</dcterms:created>
  <dcterms:modified xsi:type="dcterms:W3CDTF">2022-01-13T16:00:10Z</dcterms:modified>
</cp:coreProperties>
</file>